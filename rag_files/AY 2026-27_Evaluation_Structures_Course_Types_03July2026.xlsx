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riculum\Evaluation\"/>
    </mc:Choice>
  </mc:AlternateContent>
  <xr:revisionPtr revIDLastSave="0" documentId="13_ncr:1_{FF1B7E64-2D96-45E3-98A2-619E64B13116}" xr6:coauthVersionLast="47" xr6:coauthVersionMax="47" xr10:uidLastSave="{00000000-0000-0000-0000-000000000000}"/>
  <bookViews>
    <workbookView xWindow="-120" yWindow="-120" windowWidth="29040" windowHeight="15720" xr2:uid="{BF22CA83-EB3B-4B7E-9441-7D1923762E00}"/>
  </bookViews>
  <sheets>
    <sheet name="Evaluation Structure" sheetId="1" r:id="rId1"/>
  </sheets>
  <definedNames>
    <definedName name="_xlnm.Print_Area" localSheetId="0">'Evaluation Structure'!$A$1:$L$146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2" i="1" l="1"/>
  <c r="F99" i="1"/>
  <c r="F103" i="1" s="1"/>
  <c r="F25" i="1"/>
  <c r="F28" i="1" s="1"/>
  <c r="F117" i="1"/>
  <c r="F115" i="1"/>
  <c r="F124" i="1"/>
  <c r="F122" i="1"/>
  <c r="F110" i="1"/>
  <c r="F108" i="1"/>
  <c r="F16" i="1"/>
  <c r="F61" i="1"/>
  <c r="F71" i="1"/>
  <c r="F74" i="1"/>
  <c r="F49" i="1"/>
  <c r="F125" i="1" l="1"/>
  <c r="F118" i="1"/>
  <c r="F75" i="1"/>
  <c r="F111" i="1"/>
  <c r="F19" i="1"/>
  <c r="F36" i="1"/>
  <c r="F6" i="1"/>
  <c r="F9" i="1" s="1"/>
  <c r="F93" i="1"/>
  <c r="F90" i="1"/>
  <c r="F82" i="1"/>
  <c r="F80" i="1"/>
  <c r="F39" i="1"/>
  <c r="F94" i="1" l="1"/>
  <c r="F83" i="1"/>
</calcChain>
</file>

<file path=xl/sharedStrings.xml><?xml version="1.0" encoding="utf-8"?>
<sst xmlns="http://schemas.openxmlformats.org/spreadsheetml/2006/main" count="356" uniqueCount="115">
  <si>
    <t>Abbr</t>
  </si>
  <si>
    <t>Course Type</t>
  </si>
  <si>
    <t>Eval Type</t>
  </si>
  <si>
    <t>Components</t>
  </si>
  <si>
    <t>Exam Marks</t>
  </si>
  <si>
    <t>Marks - Weights</t>
  </si>
  <si>
    <t>Theory</t>
  </si>
  <si>
    <t>CIE</t>
  </si>
  <si>
    <t>Term Test - 1</t>
  </si>
  <si>
    <t>Term Test - 2</t>
  </si>
  <si>
    <t>MOOCS(Self Learning Module)/Assignments</t>
  </si>
  <si>
    <t>-</t>
  </si>
  <si>
    <t>SIA Tests - 5 Objective</t>
  </si>
  <si>
    <t>CIE Total</t>
  </si>
  <si>
    <t>SEE</t>
  </si>
  <si>
    <t>Sem-End Theory</t>
  </si>
  <si>
    <t>SEE Total</t>
  </si>
  <si>
    <t>Total Marks</t>
  </si>
  <si>
    <t>S No</t>
  </si>
  <si>
    <t>LTPS</t>
  </si>
  <si>
    <t>Practical Internal Test</t>
  </si>
  <si>
    <t>SEE Theory</t>
  </si>
  <si>
    <t>SEE Practical ^</t>
  </si>
  <si>
    <t>ETS</t>
  </si>
  <si>
    <t>Theory with Skill</t>
  </si>
  <si>
    <t>Skill Certification</t>
  </si>
  <si>
    <t>EPP</t>
  </si>
  <si>
    <t>Practical with Project</t>
  </si>
  <si>
    <t>Project Work Assessment $</t>
  </si>
  <si>
    <t>SEE Project Presentation @</t>
  </si>
  <si>
    <t>EP</t>
  </si>
  <si>
    <t>Practical</t>
  </si>
  <si>
    <t>Regular Lab Performance Assessment *</t>
  </si>
  <si>
    <t>EPS</t>
  </si>
  <si>
    <t>Practical with Skill</t>
  </si>
  <si>
    <t>Regular Skill Performance Assessment #</t>
  </si>
  <si>
    <t>SEE Skill **</t>
  </si>
  <si>
    <t>1. Project Reviews - Continuous Evaluation</t>
  </si>
  <si>
    <t>2. Presentation</t>
  </si>
  <si>
    <t>3. Viva-voce</t>
  </si>
  <si>
    <t>1. Logic Building and Expected Output</t>
  </si>
  <si>
    <t>1. Project Demonstration</t>
  </si>
  <si>
    <t>2. Execution</t>
  </si>
  <si>
    <t>1. Weekly Skill Continuous Evaluation(Certification)</t>
  </si>
  <si>
    <t>2. Hackathon/Global Challenge</t>
  </si>
  <si>
    <t>3. Viva-voce/SIA Tests on Certification</t>
  </si>
  <si>
    <t>1. Hackathon</t>
  </si>
  <si>
    <t>2. Global Certification</t>
  </si>
  <si>
    <t>Regular Lab Performance Assessment*</t>
  </si>
  <si>
    <t>ETP1</t>
  </si>
  <si>
    <t>ETP2</t>
  </si>
  <si>
    <t>Theory with Practical-I</t>
  </si>
  <si>
    <t>Theory with Practical-II</t>
  </si>
  <si>
    <t>1. Weekly Lab Continuous Evaluation on the Platforms</t>
  </si>
  <si>
    <t>2. Global Coding Challenge on Platforms</t>
  </si>
  <si>
    <t>Duration</t>
  </si>
  <si>
    <t>Courses Applicable</t>
  </si>
  <si>
    <t>Project Performance Assessment</t>
  </si>
  <si>
    <t>Practical Internal Test/Assessments</t>
  </si>
  <si>
    <t>2 hrs</t>
  </si>
  <si>
    <t>ET1</t>
  </si>
  <si>
    <t>ET2</t>
  </si>
  <si>
    <t>Tutorials</t>
  </si>
  <si>
    <t>EAC</t>
  </si>
  <si>
    <t>Audit Courses</t>
  </si>
  <si>
    <t>Individual Seminar Presentation $</t>
  </si>
  <si>
    <t>ESS1</t>
  </si>
  <si>
    <t>ESS2</t>
  </si>
  <si>
    <t>Term Test</t>
  </si>
  <si>
    <t>ET3</t>
  </si>
  <si>
    <t>SIA Tests / Projects</t>
  </si>
  <si>
    <t>SEE Practical^ and Project Presentation@</t>
  </si>
  <si>
    <t>24CSEJ601 Software Engineering</t>
  </si>
  <si>
    <t>24CSEJ602 Cloud Computing</t>
  </si>
  <si>
    <t>24AMLJ502 Computer Vision through Open CV</t>
  </si>
  <si>
    <t>24CSEJ612 Web Application Frameworks</t>
  </si>
  <si>
    <t>24AMLJ602 Deep Learning</t>
  </si>
  <si>
    <t>24CYSJ504 Cryptography and Network Security</t>
  </si>
  <si>
    <t>24DSCJ504 Data Visualization with R</t>
  </si>
  <si>
    <t>24SEC506 Soft Skills 3</t>
  </si>
  <si>
    <t>24CSES507 Coding Excellence Program I</t>
  </si>
  <si>
    <t>24HASL508 Innovation and Entrepreneurship - II</t>
  </si>
  <si>
    <t>25MAT1003 Probability and Statistics</t>
  </si>
  <si>
    <t>25CSE2601 Computer Networks</t>
  </si>
  <si>
    <t>25CSE1203 Computer Organization and Architecture</t>
  </si>
  <si>
    <t>25CSE2201 Operating Systems</t>
  </si>
  <si>
    <t>25CSE2404 Artificial Intelligence</t>
  </si>
  <si>
    <t>25CSE2102 Design and Analysis of Algorithms</t>
  </si>
  <si>
    <t>25CSE2302 Full Stack Development - Front End</t>
  </si>
  <si>
    <t xml:space="preserve">25CSE2305 Full Stack Application Development </t>
  </si>
  <si>
    <t>25CSE1103 Programming through Python</t>
  </si>
  <si>
    <t>25SDC1103 Foundations for Personal Effectiveness</t>
  </si>
  <si>
    <t>25HAS1202 Marketing for Sustainability</t>
  </si>
  <si>
    <t>25CSE2A01 ABAP Programming: Fundamentals and Intermediate</t>
  </si>
  <si>
    <t>26ENG1001 English for Digital Era</t>
  </si>
  <si>
    <t>26MAT1001 Linear Algebra and Calculus</t>
  </si>
  <si>
    <t>26CSE1101 Computational Problem Solving through C</t>
  </si>
  <si>
    <t>26EEC1001 Engineering Visualization &amp; Product Design</t>
  </si>
  <si>
    <t>26CSE1002 Thinking, Reasoning, and Decision-Making</t>
  </si>
  <si>
    <t>25CSE1001 IT Workshop</t>
  </si>
  <si>
    <t>26PHY1001 Quantum Materials &amp; Semiconductor Physics</t>
  </si>
  <si>
    <t>26PHY1002 Physics of Photonic and Quantum Materials</t>
  </si>
  <si>
    <t>26CHE1001 Computational Chemistry and Biology</t>
  </si>
  <si>
    <t>25CSE1A01 Introduction to SAP S/4 HANA</t>
  </si>
  <si>
    <t>ES</t>
  </si>
  <si>
    <t>Regular Activity Assessment</t>
  </si>
  <si>
    <t>SEE Final Activity/Case Study Presentation</t>
  </si>
  <si>
    <t>Skill Oriented</t>
  </si>
  <si>
    <r>
      <t>Regular Skill Performance Assessment</t>
    </r>
    <r>
      <rPr>
        <b/>
        <sz val="11"/>
        <color rgb="FF000000"/>
        <rFont val="Calibri"/>
        <family val="2"/>
      </rPr>
      <t>#</t>
    </r>
  </si>
  <si>
    <r>
      <t>Regular Lab Performance Assessment </t>
    </r>
    <r>
      <rPr>
        <b/>
        <sz val="11"/>
        <color rgb="FF000000"/>
        <rFont val="Calibri"/>
        <family val="2"/>
      </rPr>
      <t>*</t>
    </r>
  </si>
  <si>
    <r>
      <t>Regular Skill Performance Assessment </t>
    </r>
    <r>
      <rPr>
        <b/>
        <sz val="11"/>
        <color rgb="FF000000"/>
        <rFont val="Calibri"/>
        <family val="2"/>
      </rPr>
      <t>#</t>
    </r>
  </si>
  <si>
    <r>
      <t>Project Work Assessment/Individual Seminar Presentation </t>
    </r>
    <r>
      <rPr>
        <b/>
        <sz val="11"/>
        <color rgb="FF000000"/>
        <rFont val="Calibri"/>
        <family val="2"/>
      </rPr>
      <t>$</t>
    </r>
  </si>
  <si>
    <t>SEE Skill(Objective) Assessment</t>
  </si>
  <si>
    <t>I&amp;E/SDG Impact - I</t>
  </si>
  <si>
    <t>I&amp;E/SDG Impact 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</si>
</sst>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5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/>
    <xf numFmtId="0" fontId="1" fillId="3" borderId="1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0" borderId="6" xfId="0" applyBorder="1"/>
    <xf numFmtId="0" fontId="4" fillId="5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1" fillId="0" borderId="7" xfId="0" applyFont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5" borderId="13" xfId="0" applyFill="1" applyBorder="1" applyAlignment="1">
      <alignment vertical="center" wrapText="1"/>
    </xf>
    <xf numFmtId="0" fontId="5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64E8-261D-41E3-BB25-C113CFD781FC}">
  <dimension ref="A1:M146"/>
  <sheetViews>
    <sheetView tabSelected="1" topLeftCell="A111" zoomScaleNormal="100" zoomScaleSheetLayoutView="70" workbookViewId="0">
      <selection activeCell="D123" sqref="D123"/>
    </sheetView>
  </sheetViews>
  <sheetFormatPr defaultRowHeight="15" x14ac:dyDescent="0.25"/>
  <cols>
    <col min="1" max="1" width="5.28515625" bestFit="1" customWidth="1"/>
    <col min="2" max="2" width="21.7109375" bestFit="1" customWidth="1"/>
    <col min="3" max="3" width="9.28515625" bestFit="1" customWidth="1"/>
    <col min="4" max="4" width="41" bestFit="1" customWidth="1"/>
    <col min="5" max="5" width="11.5703125" bestFit="1" customWidth="1"/>
    <col min="6" max="6" width="15.5703125" bestFit="1" customWidth="1"/>
    <col min="7" max="7" width="8.7109375" bestFit="1" customWidth="1"/>
    <col min="8" max="8" width="59.140625" bestFit="1" customWidth="1"/>
    <col min="9" max="11" width="5.42578125" customWidth="1"/>
    <col min="12" max="12" width="7.5703125" customWidth="1"/>
  </cols>
  <sheetData>
    <row r="1" spans="1:13" ht="20.100000000000001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8" t="s">
        <v>55</v>
      </c>
      <c r="H1" s="8" t="s">
        <v>56</v>
      </c>
      <c r="M1" s="1"/>
    </row>
    <row r="2" spans="1:13" ht="20.100000000000001" customHeight="1" x14ac:dyDescent="0.25">
      <c r="A2" s="55" t="s">
        <v>60</v>
      </c>
      <c r="B2" s="55" t="s">
        <v>6</v>
      </c>
      <c r="C2" s="55" t="s">
        <v>7</v>
      </c>
      <c r="D2" s="10" t="s">
        <v>8</v>
      </c>
      <c r="E2" s="11">
        <v>50</v>
      </c>
      <c r="F2" s="11">
        <v>15</v>
      </c>
      <c r="G2" s="12" t="s">
        <v>59</v>
      </c>
      <c r="H2" s="13" t="s">
        <v>83</v>
      </c>
      <c r="M2" s="1"/>
    </row>
    <row r="3" spans="1:13" ht="20.100000000000001" customHeight="1" x14ac:dyDescent="0.25">
      <c r="A3" s="56"/>
      <c r="B3" s="56"/>
      <c r="C3" s="56"/>
      <c r="D3" s="10" t="s">
        <v>9</v>
      </c>
      <c r="E3" s="11">
        <v>50</v>
      </c>
      <c r="F3" s="11">
        <v>15</v>
      </c>
      <c r="G3" s="12" t="s">
        <v>59</v>
      </c>
      <c r="H3" s="14" t="s">
        <v>84</v>
      </c>
      <c r="M3" s="1"/>
    </row>
    <row r="4" spans="1:13" ht="20.100000000000001" customHeight="1" x14ac:dyDescent="0.25">
      <c r="A4" s="56"/>
      <c r="B4" s="56"/>
      <c r="C4" s="56"/>
      <c r="D4" s="10" t="s">
        <v>10</v>
      </c>
      <c r="E4" s="11" t="s">
        <v>11</v>
      </c>
      <c r="F4" s="11">
        <v>10</v>
      </c>
      <c r="G4" s="15"/>
      <c r="H4" s="13" t="s">
        <v>82</v>
      </c>
      <c r="M4" s="1"/>
    </row>
    <row r="5" spans="1:13" ht="20.100000000000001" customHeight="1" x14ac:dyDescent="0.25">
      <c r="A5" s="56"/>
      <c r="B5" s="56"/>
      <c r="C5" s="56"/>
      <c r="D5" s="10" t="s">
        <v>12</v>
      </c>
      <c r="E5" s="11">
        <v>10</v>
      </c>
      <c r="F5" s="11">
        <v>10</v>
      </c>
      <c r="G5" s="15"/>
      <c r="H5" s="14"/>
      <c r="M5" s="1"/>
    </row>
    <row r="6" spans="1:13" ht="20.100000000000001" customHeight="1" x14ac:dyDescent="0.25">
      <c r="A6" s="56"/>
      <c r="B6" s="56"/>
      <c r="C6" s="57"/>
      <c r="D6" s="17" t="s">
        <v>13</v>
      </c>
      <c r="E6" s="17"/>
      <c r="F6" s="17">
        <f>SUM(F2:F5)</f>
        <v>50</v>
      </c>
      <c r="G6" s="15"/>
      <c r="H6" s="14"/>
      <c r="M6" s="1"/>
    </row>
    <row r="7" spans="1:13" ht="20.100000000000001" customHeight="1" x14ac:dyDescent="0.25">
      <c r="A7" s="56"/>
      <c r="B7" s="56"/>
      <c r="C7" s="55" t="s">
        <v>14</v>
      </c>
      <c r="D7" s="10" t="s">
        <v>15</v>
      </c>
      <c r="E7" s="11">
        <v>50</v>
      </c>
      <c r="F7" s="11">
        <v>50</v>
      </c>
      <c r="G7" s="12" t="s">
        <v>59</v>
      </c>
      <c r="H7" s="14"/>
      <c r="M7" s="1"/>
    </row>
    <row r="8" spans="1:13" ht="20.100000000000001" customHeight="1" x14ac:dyDescent="0.25">
      <c r="A8" s="57"/>
      <c r="B8" s="57"/>
      <c r="C8" s="57"/>
      <c r="D8" s="17" t="s">
        <v>16</v>
      </c>
      <c r="E8" s="17"/>
      <c r="F8" s="17">
        <v>50</v>
      </c>
      <c r="G8" s="15"/>
      <c r="H8" s="14"/>
      <c r="M8" s="1"/>
    </row>
    <row r="9" spans="1:13" ht="20.100000000000001" customHeight="1" x14ac:dyDescent="0.25">
      <c r="A9" s="60" t="s">
        <v>17</v>
      </c>
      <c r="B9" s="61"/>
      <c r="C9" s="61"/>
      <c r="D9" s="63"/>
      <c r="E9" s="18"/>
      <c r="F9" s="18">
        <f>SUM(F6,F8)</f>
        <v>100</v>
      </c>
      <c r="G9" s="15"/>
      <c r="H9" s="14"/>
      <c r="M9" s="1"/>
    </row>
    <row r="10" spans="1:13" s="5" customFormat="1" ht="20.100000000000001" customHeight="1" x14ac:dyDescent="0.25">
      <c r="A10" s="19"/>
      <c r="B10" s="20"/>
      <c r="C10" s="20"/>
      <c r="D10" s="21"/>
      <c r="E10" s="22"/>
      <c r="F10" s="22"/>
      <c r="G10" s="23"/>
      <c r="H10" s="24"/>
      <c r="M10" s="4"/>
    </row>
    <row r="11" spans="1:13" ht="20.100000000000001" customHeight="1" x14ac:dyDescent="0.25">
      <c r="A11" s="8" t="s">
        <v>0</v>
      </c>
      <c r="B11" s="9" t="s">
        <v>1</v>
      </c>
      <c r="C11" s="9" t="s">
        <v>2</v>
      </c>
      <c r="D11" s="9" t="s">
        <v>3</v>
      </c>
      <c r="E11" s="9" t="s">
        <v>4</v>
      </c>
      <c r="F11" s="9" t="s">
        <v>5</v>
      </c>
      <c r="G11" s="8" t="s">
        <v>55</v>
      </c>
      <c r="H11" s="8" t="s">
        <v>56</v>
      </c>
      <c r="M11" s="1"/>
    </row>
    <row r="12" spans="1:13" ht="20.100000000000001" customHeight="1" x14ac:dyDescent="0.25">
      <c r="A12" s="55" t="s">
        <v>61</v>
      </c>
      <c r="B12" s="55" t="s">
        <v>6</v>
      </c>
      <c r="C12" s="55" t="s">
        <v>7</v>
      </c>
      <c r="D12" s="25" t="s">
        <v>68</v>
      </c>
      <c r="E12" s="26">
        <v>50</v>
      </c>
      <c r="F12" s="26">
        <v>20</v>
      </c>
      <c r="G12" s="27" t="s">
        <v>59</v>
      </c>
      <c r="H12" s="14" t="s">
        <v>95</v>
      </c>
      <c r="M12" s="1"/>
    </row>
    <row r="13" spans="1:13" ht="20.100000000000001" customHeight="1" x14ac:dyDescent="0.25">
      <c r="A13" s="56"/>
      <c r="B13" s="56"/>
      <c r="C13" s="56"/>
      <c r="D13" s="10" t="s">
        <v>62</v>
      </c>
      <c r="E13" s="28" t="s">
        <v>11</v>
      </c>
      <c r="F13" s="11">
        <v>10</v>
      </c>
      <c r="G13" s="12"/>
      <c r="H13" s="14"/>
      <c r="M13" s="1"/>
    </row>
    <row r="14" spans="1:13" ht="20.100000000000001" customHeight="1" x14ac:dyDescent="0.25">
      <c r="A14" s="56"/>
      <c r="B14" s="56"/>
      <c r="C14" s="56"/>
      <c r="D14" s="10" t="s">
        <v>10</v>
      </c>
      <c r="E14" s="11" t="s">
        <v>11</v>
      </c>
      <c r="F14" s="11">
        <v>10</v>
      </c>
      <c r="G14" s="15"/>
      <c r="H14" s="14"/>
      <c r="M14" s="1"/>
    </row>
    <row r="15" spans="1:13" ht="20.100000000000001" customHeight="1" x14ac:dyDescent="0.25">
      <c r="A15" s="56"/>
      <c r="B15" s="56"/>
      <c r="C15" s="56"/>
      <c r="D15" s="10" t="s">
        <v>12</v>
      </c>
      <c r="E15" s="28" t="s">
        <v>11</v>
      </c>
      <c r="F15" s="11">
        <v>10</v>
      </c>
      <c r="G15" s="15"/>
      <c r="H15" s="14"/>
      <c r="M15" s="1"/>
    </row>
    <row r="16" spans="1:13" ht="20.100000000000001" customHeight="1" x14ac:dyDescent="0.25">
      <c r="A16" s="56"/>
      <c r="B16" s="56"/>
      <c r="C16" s="57"/>
      <c r="D16" s="17" t="s">
        <v>13</v>
      </c>
      <c r="E16" s="17"/>
      <c r="F16" s="17">
        <f>SUM(F12:F15)</f>
        <v>50</v>
      </c>
      <c r="G16" s="15"/>
      <c r="H16" s="14"/>
      <c r="M16" s="1"/>
    </row>
    <row r="17" spans="1:13" ht="20.100000000000001" customHeight="1" x14ac:dyDescent="0.25">
      <c r="A17" s="56"/>
      <c r="B17" s="56"/>
      <c r="C17" s="55" t="s">
        <v>14</v>
      </c>
      <c r="D17" s="10" t="s">
        <v>15</v>
      </c>
      <c r="E17" s="11">
        <v>50</v>
      </c>
      <c r="F17" s="11">
        <v>50</v>
      </c>
      <c r="G17" s="12" t="s">
        <v>59</v>
      </c>
      <c r="H17" s="14"/>
      <c r="M17" s="1"/>
    </row>
    <row r="18" spans="1:13" ht="20.100000000000001" customHeight="1" x14ac:dyDescent="0.25">
      <c r="A18" s="57"/>
      <c r="B18" s="57"/>
      <c r="C18" s="57"/>
      <c r="D18" s="17" t="s">
        <v>16</v>
      </c>
      <c r="E18" s="17"/>
      <c r="F18" s="17">
        <v>50</v>
      </c>
      <c r="G18" s="15"/>
      <c r="H18" s="14"/>
      <c r="M18" s="1"/>
    </row>
    <row r="19" spans="1:13" ht="20.100000000000001" customHeight="1" x14ac:dyDescent="0.25">
      <c r="A19" s="60" t="s">
        <v>17</v>
      </c>
      <c r="B19" s="61"/>
      <c r="C19" s="61"/>
      <c r="D19" s="63"/>
      <c r="E19" s="18"/>
      <c r="F19" s="18">
        <f>SUM(F16,F18)</f>
        <v>100</v>
      </c>
      <c r="G19" s="15"/>
      <c r="H19" s="14"/>
      <c r="M19" s="1"/>
    </row>
    <row r="20" spans="1:13" s="5" customFormat="1" ht="20.100000000000001" customHeight="1" x14ac:dyDescent="0.25">
      <c r="A20" s="19"/>
      <c r="B20" s="20"/>
      <c r="C20" s="20"/>
      <c r="D20" s="21"/>
      <c r="E20" s="22"/>
      <c r="F20" s="29"/>
      <c r="G20" s="23"/>
      <c r="H20" s="24"/>
      <c r="M20" s="4"/>
    </row>
    <row r="21" spans="1:13" ht="20.100000000000001" customHeight="1" x14ac:dyDescent="0.25">
      <c r="A21" s="8" t="s">
        <v>0</v>
      </c>
      <c r="B21" s="9" t="s">
        <v>1</v>
      </c>
      <c r="C21" s="9" t="s">
        <v>2</v>
      </c>
      <c r="D21" s="9" t="s">
        <v>3</v>
      </c>
      <c r="E21" s="9" t="s">
        <v>4</v>
      </c>
      <c r="F21" s="9" t="s">
        <v>5</v>
      </c>
      <c r="G21" s="8" t="s">
        <v>55</v>
      </c>
      <c r="H21" s="8" t="s">
        <v>56</v>
      </c>
      <c r="M21" s="1"/>
    </row>
    <row r="22" spans="1:13" ht="20.100000000000001" customHeight="1" x14ac:dyDescent="0.25">
      <c r="A22" s="55" t="s">
        <v>69</v>
      </c>
      <c r="B22" s="55" t="s">
        <v>6</v>
      </c>
      <c r="C22" s="55" t="s">
        <v>7</v>
      </c>
      <c r="D22" s="25" t="s">
        <v>68</v>
      </c>
      <c r="E22" s="26">
        <v>50</v>
      </c>
      <c r="F22" s="26">
        <v>20</v>
      </c>
      <c r="G22" s="27" t="s">
        <v>59</v>
      </c>
      <c r="H22" s="13" t="s">
        <v>100</v>
      </c>
      <c r="M22" s="1"/>
    </row>
    <row r="23" spans="1:13" ht="20.100000000000001" customHeight="1" x14ac:dyDescent="0.25">
      <c r="A23" s="56"/>
      <c r="B23" s="56"/>
      <c r="C23" s="56"/>
      <c r="D23" s="10" t="s">
        <v>10</v>
      </c>
      <c r="E23" s="11" t="s">
        <v>11</v>
      </c>
      <c r="F23" s="11">
        <v>20</v>
      </c>
      <c r="G23" s="15"/>
      <c r="H23" s="14" t="s">
        <v>101</v>
      </c>
      <c r="M23" s="1"/>
    </row>
    <row r="24" spans="1:13" ht="20.100000000000001" customHeight="1" x14ac:dyDescent="0.25">
      <c r="A24" s="56"/>
      <c r="B24" s="56"/>
      <c r="C24" s="56"/>
      <c r="D24" s="10" t="s">
        <v>12</v>
      </c>
      <c r="E24" s="28" t="s">
        <v>11</v>
      </c>
      <c r="F24" s="11">
        <v>10</v>
      </c>
      <c r="G24" s="15"/>
      <c r="H24" s="14" t="s">
        <v>102</v>
      </c>
      <c r="M24" s="1"/>
    </row>
    <row r="25" spans="1:13" ht="20.100000000000001" customHeight="1" x14ac:dyDescent="0.25">
      <c r="A25" s="56"/>
      <c r="B25" s="56"/>
      <c r="C25" s="57"/>
      <c r="D25" s="17" t="s">
        <v>13</v>
      </c>
      <c r="E25" s="17"/>
      <c r="F25" s="17">
        <f>SUM(F22:F24)</f>
        <v>50</v>
      </c>
      <c r="G25" s="15"/>
      <c r="H25" s="14"/>
      <c r="M25" s="1"/>
    </row>
    <row r="26" spans="1:13" ht="20.100000000000001" customHeight="1" x14ac:dyDescent="0.25">
      <c r="A26" s="56"/>
      <c r="B26" s="56"/>
      <c r="C26" s="55" t="s">
        <v>14</v>
      </c>
      <c r="D26" s="10" t="s">
        <v>15</v>
      </c>
      <c r="E26" s="11">
        <v>50</v>
      </c>
      <c r="F26" s="11">
        <v>50</v>
      </c>
      <c r="G26" s="12" t="s">
        <v>59</v>
      </c>
      <c r="H26" s="14"/>
      <c r="M26" s="1"/>
    </row>
    <row r="27" spans="1:13" ht="20.100000000000001" customHeight="1" x14ac:dyDescent="0.25">
      <c r="A27" s="57"/>
      <c r="B27" s="57"/>
      <c r="C27" s="57"/>
      <c r="D27" s="17" t="s">
        <v>16</v>
      </c>
      <c r="E27" s="17"/>
      <c r="F27" s="17">
        <v>50</v>
      </c>
      <c r="G27" s="15"/>
      <c r="H27" s="14"/>
      <c r="M27" s="1"/>
    </row>
    <row r="28" spans="1:13" ht="20.100000000000001" customHeight="1" x14ac:dyDescent="0.25">
      <c r="A28" s="60" t="s">
        <v>17</v>
      </c>
      <c r="B28" s="61"/>
      <c r="C28" s="61"/>
      <c r="D28" s="63"/>
      <c r="E28" s="18"/>
      <c r="F28" s="18">
        <f>SUM(F25,F27)</f>
        <v>100</v>
      </c>
      <c r="G28" s="15"/>
      <c r="H28" s="14"/>
      <c r="M28" s="1"/>
    </row>
    <row r="29" spans="1:13" s="5" customFormat="1" ht="20.100000000000001" customHeight="1" x14ac:dyDescent="0.25">
      <c r="A29" s="19"/>
      <c r="B29" s="20"/>
      <c r="C29" s="20"/>
      <c r="D29" s="21"/>
      <c r="E29" s="22"/>
      <c r="F29" s="29"/>
      <c r="G29" s="23"/>
      <c r="H29" s="24"/>
      <c r="M29" s="4"/>
    </row>
    <row r="30" spans="1:13" ht="20.100000000000001" customHeight="1" x14ac:dyDescent="0.25">
      <c r="A30" s="8" t="s">
        <v>18</v>
      </c>
      <c r="B30" s="9" t="s">
        <v>19</v>
      </c>
      <c r="C30" s="9" t="s">
        <v>2</v>
      </c>
      <c r="D30" s="9" t="s">
        <v>3</v>
      </c>
      <c r="E30" s="9" t="s">
        <v>4</v>
      </c>
      <c r="F30" s="30" t="s">
        <v>5</v>
      </c>
      <c r="G30" s="8" t="s">
        <v>55</v>
      </c>
      <c r="H30" s="8" t="s">
        <v>56</v>
      </c>
      <c r="M30" s="1"/>
    </row>
    <row r="31" spans="1:13" ht="20.100000000000001" customHeight="1" x14ac:dyDescent="0.25">
      <c r="A31" s="55" t="s">
        <v>49</v>
      </c>
      <c r="B31" s="55" t="s">
        <v>51</v>
      </c>
      <c r="C31" s="55" t="s">
        <v>7</v>
      </c>
      <c r="D31" s="10" t="s">
        <v>8</v>
      </c>
      <c r="E31" s="11">
        <v>50</v>
      </c>
      <c r="F31" s="26">
        <v>12.5</v>
      </c>
      <c r="G31" s="12" t="s">
        <v>59</v>
      </c>
      <c r="H31" s="13" t="s">
        <v>72</v>
      </c>
      <c r="M31" s="1"/>
    </row>
    <row r="32" spans="1:13" ht="20.100000000000001" customHeight="1" x14ac:dyDescent="0.25">
      <c r="A32" s="56"/>
      <c r="B32" s="56"/>
      <c r="C32" s="56"/>
      <c r="D32" s="10" t="s">
        <v>9</v>
      </c>
      <c r="E32" s="11">
        <v>50</v>
      </c>
      <c r="F32" s="26">
        <v>12.5</v>
      </c>
      <c r="G32" s="12" t="s">
        <v>59</v>
      </c>
      <c r="H32" s="14" t="s">
        <v>73</v>
      </c>
      <c r="M32" s="1"/>
    </row>
    <row r="33" spans="1:13" ht="20.100000000000001" customHeight="1" x14ac:dyDescent="0.25">
      <c r="A33" s="56"/>
      <c r="B33" s="56"/>
      <c r="C33" s="56"/>
      <c r="D33" s="10" t="s">
        <v>20</v>
      </c>
      <c r="E33" s="11">
        <v>50</v>
      </c>
      <c r="F33" s="26">
        <v>10</v>
      </c>
      <c r="G33" s="12" t="s">
        <v>59</v>
      </c>
      <c r="H33" s="14" t="s">
        <v>75</v>
      </c>
      <c r="M33" s="1"/>
    </row>
    <row r="34" spans="1:13" ht="20.100000000000001" customHeight="1" x14ac:dyDescent="0.25">
      <c r="A34" s="56"/>
      <c r="B34" s="56"/>
      <c r="C34" s="56"/>
      <c r="D34" s="10" t="s">
        <v>12</v>
      </c>
      <c r="E34" s="11">
        <v>10</v>
      </c>
      <c r="F34" s="31">
        <v>5</v>
      </c>
      <c r="G34" s="15"/>
      <c r="H34" s="14" t="s">
        <v>85</v>
      </c>
      <c r="M34" s="1"/>
    </row>
    <row r="35" spans="1:13" ht="20.100000000000001" customHeight="1" x14ac:dyDescent="0.25">
      <c r="A35" s="56"/>
      <c r="B35" s="56"/>
      <c r="C35" s="56"/>
      <c r="D35" s="10" t="s">
        <v>48</v>
      </c>
      <c r="E35" s="11"/>
      <c r="F35" s="31">
        <v>10</v>
      </c>
      <c r="G35" s="15"/>
      <c r="H35" s="13" t="s">
        <v>87</v>
      </c>
      <c r="M35" s="1"/>
    </row>
    <row r="36" spans="1:13" ht="20.100000000000001" customHeight="1" x14ac:dyDescent="0.25">
      <c r="A36" s="56"/>
      <c r="B36" s="56"/>
      <c r="C36" s="57"/>
      <c r="D36" s="32" t="s">
        <v>13</v>
      </c>
      <c r="E36" s="33"/>
      <c r="F36" s="33">
        <f>SUM(F31:F35)</f>
        <v>50</v>
      </c>
      <c r="G36" s="15"/>
      <c r="H36" s="14" t="s">
        <v>93</v>
      </c>
      <c r="M36" s="1"/>
    </row>
    <row r="37" spans="1:13" ht="20.100000000000001" customHeight="1" x14ac:dyDescent="0.25">
      <c r="A37" s="56"/>
      <c r="B37" s="56"/>
      <c r="C37" s="55" t="s">
        <v>14</v>
      </c>
      <c r="D37" s="34" t="s">
        <v>21</v>
      </c>
      <c r="E37" s="11">
        <v>50</v>
      </c>
      <c r="F37" s="11">
        <v>30</v>
      </c>
      <c r="G37" s="12" t="s">
        <v>59</v>
      </c>
      <c r="H37" s="14" t="s">
        <v>94</v>
      </c>
      <c r="M37" s="1"/>
    </row>
    <row r="38" spans="1:13" ht="20.100000000000001" customHeight="1" x14ac:dyDescent="0.25">
      <c r="A38" s="56"/>
      <c r="B38" s="56"/>
      <c r="C38" s="56"/>
      <c r="D38" s="10" t="s">
        <v>22</v>
      </c>
      <c r="E38" s="11">
        <v>50</v>
      </c>
      <c r="F38" s="11">
        <v>20</v>
      </c>
      <c r="G38" s="12" t="s">
        <v>59</v>
      </c>
      <c r="H38" s="14" t="s">
        <v>103</v>
      </c>
      <c r="M38" s="1"/>
    </row>
    <row r="39" spans="1:13" ht="20.100000000000001" customHeight="1" x14ac:dyDescent="0.25">
      <c r="A39" s="57"/>
      <c r="B39" s="57"/>
      <c r="C39" s="57"/>
      <c r="D39" s="17" t="s">
        <v>16</v>
      </c>
      <c r="E39" s="17"/>
      <c r="F39" s="35">
        <f>SUM(F37:F38)</f>
        <v>50</v>
      </c>
      <c r="G39" s="15"/>
      <c r="H39" s="14"/>
      <c r="M39" s="1"/>
    </row>
    <row r="40" spans="1:13" ht="20.100000000000001" customHeight="1" x14ac:dyDescent="0.25">
      <c r="A40" s="60" t="s">
        <v>17</v>
      </c>
      <c r="B40" s="61"/>
      <c r="C40" s="61"/>
      <c r="D40" s="62"/>
      <c r="E40" s="18"/>
      <c r="F40" s="18">
        <v>100</v>
      </c>
      <c r="G40" s="15"/>
      <c r="H40" s="14"/>
      <c r="M40" s="1"/>
    </row>
    <row r="41" spans="1:13" s="5" customFormat="1" ht="20.100000000000001" customHeight="1" x14ac:dyDescent="0.25">
      <c r="A41" s="19"/>
      <c r="B41" s="20"/>
      <c r="C41" s="20"/>
      <c r="D41" s="20"/>
      <c r="E41" s="22"/>
      <c r="F41" s="22"/>
      <c r="G41" s="15"/>
      <c r="H41"/>
      <c r="I41"/>
      <c r="J41"/>
      <c r="K41"/>
      <c r="L41"/>
      <c r="M41" s="4"/>
    </row>
    <row r="42" spans="1:13" ht="20.100000000000001" customHeight="1" x14ac:dyDescent="0.25">
      <c r="A42" s="8" t="s">
        <v>18</v>
      </c>
      <c r="B42" s="9" t="s">
        <v>19</v>
      </c>
      <c r="C42" s="9" t="s">
        <v>2</v>
      </c>
      <c r="D42" s="9" t="s">
        <v>3</v>
      </c>
      <c r="E42" s="9" t="s">
        <v>4</v>
      </c>
      <c r="F42" s="9" t="s">
        <v>5</v>
      </c>
      <c r="G42" s="8" t="s">
        <v>55</v>
      </c>
      <c r="H42" s="36" t="s">
        <v>56</v>
      </c>
      <c r="M42" s="1"/>
    </row>
    <row r="43" spans="1:13" ht="20.100000000000001" customHeight="1" x14ac:dyDescent="0.25">
      <c r="A43" s="55" t="s">
        <v>50</v>
      </c>
      <c r="B43" s="55" t="s">
        <v>52</v>
      </c>
      <c r="C43" s="55" t="s">
        <v>7</v>
      </c>
      <c r="D43" s="10" t="s">
        <v>8</v>
      </c>
      <c r="E43" s="11">
        <v>50</v>
      </c>
      <c r="F43" s="11">
        <v>10</v>
      </c>
      <c r="G43" s="12" t="s">
        <v>59</v>
      </c>
      <c r="H43" s="14" t="s">
        <v>74</v>
      </c>
      <c r="M43" s="1"/>
    </row>
    <row r="44" spans="1:13" ht="20.100000000000001" customHeight="1" x14ac:dyDescent="0.25">
      <c r="A44" s="56"/>
      <c r="B44" s="56"/>
      <c r="C44" s="56"/>
      <c r="D44" s="10" t="s">
        <v>9</v>
      </c>
      <c r="E44" s="11">
        <v>50</v>
      </c>
      <c r="F44" s="11">
        <v>10</v>
      </c>
      <c r="G44" s="12" t="s">
        <v>59</v>
      </c>
      <c r="H44" s="14" t="s">
        <v>76</v>
      </c>
      <c r="M44" s="1"/>
    </row>
    <row r="45" spans="1:13" ht="20.100000000000001" customHeight="1" x14ac:dyDescent="0.25">
      <c r="A45" s="56"/>
      <c r="B45" s="56"/>
      <c r="C45" s="56"/>
      <c r="D45" s="10" t="s">
        <v>20</v>
      </c>
      <c r="E45" s="11">
        <v>50</v>
      </c>
      <c r="F45" s="11">
        <v>10</v>
      </c>
      <c r="G45" s="37"/>
      <c r="H45" s="38" t="s">
        <v>86</v>
      </c>
      <c r="M45" s="1"/>
    </row>
    <row r="46" spans="1:13" ht="20.100000000000001" customHeight="1" x14ac:dyDescent="0.25">
      <c r="A46" s="56"/>
      <c r="B46" s="56"/>
      <c r="C46" s="56"/>
      <c r="D46" s="10" t="s">
        <v>12</v>
      </c>
      <c r="E46" s="11">
        <v>10</v>
      </c>
      <c r="F46" s="11">
        <v>5</v>
      </c>
      <c r="G46" s="37"/>
      <c r="H46" s="15"/>
      <c r="M46" s="1"/>
    </row>
    <row r="47" spans="1:13" ht="20.100000000000001" customHeight="1" x14ac:dyDescent="0.25">
      <c r="A47" s="56"/>
      <c r="B47" s="56"/>
      <c r="C47" s="56"/>
      <c r="D47" s="10" t="s">
        <v>48</v>
      </c>
      <c r="E47" s="11"/>
      <c r="F47" s="11">
        <v>10</v>
      </c>
      <c r="G47" s="37"/>
      <c r="H47" s="15"/>
      <c r="M47" s="1"/>
    </row>
    <row r="48" spans="1:13" ht="20.100000000000001" customHeight="1" x14ac:dyDescent="0.25">
      <c r="A48" s="56"/>
      <c r="B48" s="56"/>
      <c r="C48" s="56"/>
      <c r="D48" s="25" t="s">
        <v>57</v>
      </c>
      <c r="E48" s="26"/>
      <c r="F48" s="26">
        <v>5</v>
      </c>
      <c r="G48" s="37"/>
      <c r="H48" s="38"/>
      <c r="M48" s="1"/>
    </row>
    <row r="49" spans="1:13" ht="20.100000000000001" customHeight="1" x14ac:dyDescent="0.25">
      <c r="A49" s="56"/>
      <c r="B49" s="56"/>
      <c r="C49" s="57"/>
      <c r="D49" s="32" t="s">
        <v>13</v>
      </c>
      <c r="E49" s="39"/>
      <c r="F49" s="39">
        <f>SUM(F43:F48)</f>
        <v>50</v>
      </c>
      <c r="G49" s="37"/>
      <c r="H49" s="38"/>
      <c r="M49" s="1"/>
    </row>
    <row r="50" spans="1:13" ht="20.100000000000001" customHeight="1" x14ac:dyDescent="0.25">
      <c r="A50" s="56"/>
      <c r="B50" s="56"/>
      <c r="C50" s="55" t="s">
        <v>14</v>
      </c>
      <c r="D50" s="34" t="s">
        <v>21</v>
      </c>
      <c r="E50" s="26">
        <v>50</v>
      </c>
      <c r="F50" s="26">
        <v>30</v>
      </c>
      <c r="G50" s="12" t="s">
        <v>59</v>
      </c>
      <c r="H50" s="38"/>
      <c r="M50" s="1"/>
    </row>
    <row r="51" spans="1:13" ht="20.100000000000001" customHeight="1" x14ac:dyDescent="0.25">
      <c r="A51" s="56"/>
      <c r="B51" s="56"/>
      <c r="C51" s="56"/>
      <c r="D51" s="10" t="s">
        <v>71</v>
      </c>
      <c r="E51" s="11">
        <v>50</v>
      </c>
      <c r="F51" s="11">
        <v>20</v>
      </c>
      <c r="G51" s="12" t="s">
        <v>59</v>
      </c>
      <c r="H51" s="38"/>
      <c r="M51" s="1"/>
    </row>
    <row r="52" spans="1:13" ht="20.100000000000001" customHeight="1" x14ac:dyDescent="0.25">
      <c r="A52" s="57"/>
      <c r="B52" s="57"/>
      <c r="C52" s="57"/>
      <c r="D52" s="17" t="s">
        <v>16</v>
      </c>
      <c r="E52" s="17"/>
      <c r="F52" s="17">
        <v>50</v>
      </c>
      <c r="G52" s="37"/>
      <c r="H52" s="38"/>
      <c r="M52" s="1"/>
    </row>
    <row r="53" spans="1:13" ht="20.100000000000001" customHeight="1" x14ac:dyDescent="0.25">
      <c r="A53" s="60" t="s">
        <v>17</v>
      </c>
      <c r="B53" s="61"/>
      <c r="C53" s="61"/>
      <c r="D53" s="62"/>
      <c r="E53" s="18"/>
      <c r="F53" s="18">
        <v>100</v>
      </c>
      <c r="G53" s="37"/>
      <c r="H53" s="38"/>
      <c r="M53" s="1"/>
    </row>
    <row r="54" spans="1:13" ht="20.100000000000001" customHeight="1" x14ac:dyDescent="0.25">
      <c r="A54" s="40"/>
      <c r="B54" s="41"/>
      <c r="C54" s="41"/>
      <c r="D54" s="42"/>
      <c r="E54" s="42"/>
      <c r="F54" s="42"/>
      <c r="M54" s="1"/>
    </row>
    <row r="55" spans="1:13" ht="20.100000000000001" customHeight="1" x14ac:dyDescent="0.25">
      <c r="A55" s="43" t="s">
        <v>18</v>
      </c>
      <c r="B55" s="44" t="s">
        <v>19</v>
      </c>
      <c r="C55" s="44" t="s">
        <v>2</v>
      </c>
      <c r="D55" s="44" t="s">
        <v>3</v>
      </c>
      <c r="E55" s="44" t="s">
        <v>4</v>
      </c>
      <c r="F55" s="44" t="s">
        <v>5</v>
      </c>
      <c r="G55" s="8" t="s">
        <v>55</v>
      </c>
      <c r="H55" s="36" t="s">
        <v>56</v>
      </c>
      <c r="M55" s="1"/>
    </row>
    <row r="56" spans="1:13" ht="20.100000000000001" customHeight="1" x14ac:dyDescent="0.25">
      <c r="A56" s="55" t="s">
        <v>23</v>
      </c>
      <c r="B56" s="55" t="s">
        <v>24</v>
      </c>
      <c r="C56" s="55" t="s">
        <v>7</v>
      </c>
      <c r="D56" s="10" t="s">
        <v>8</v>
      </c>
      <c r="E56" s="11">
        <v>50</v>
      </c>
      <c r="F56" s="11">
        <v>12.5</v>
      </c>
      <c r="G56" s="12" t="s">
        <v>59</v>
      </c>
      <c r="H56" s="14" t="s">
        <v>78</v>
      </c>
      <c r="M56" s="1"/>
    </row>
    <row r="57" spans="1:13" ht="20.100000000000001" customHeight="1" x14ac:dyDescent="0.25">
      <c r="A57" s="56"/>
      <c r="B57" s="56"/>
      <c r="C57" s="56"/>
      <c r="D57" s="10" t="s">
        <v>9</v>
      </c>
      <c r="E57" s="11">
        <v>50</v>
      </c>
      <c r="F57" s="11">
        <v>12.5</v>
      </c>
      <c r="G57" s="12" t="s">
        <v>59</v>
      </c>
      <c r="H57" s="14" t="s">
        <v>77</v>
      </c>
      <c r="M57" s="1"/>
    </row>
    <row r="58" spans="1:13" ht="20.100000000000001" customHeight="1" x14ac:dyDescent="0.25">
      <c r="A58" s="56"/>
      <c r="B58" s="56"/>
      <c r="C58" s="56"/>
      <c r="D58" s="10" t="s">
        <v>12</v>
      </c>
      <c r="E58" s="11">
        <v>10</v>
      </c>
      <c r="F58" s="11">
        <v>5</v>
      </c>
      <c r="G58" s="15"/>
      <c r="H58" s="45"/>
      <c r="M58" s="1"/>
    </row>
    <row r="59" spans="1:13" ht="20.100000000000001" customHeight="1" x14ac:dyDescent="0.25">
      <c r="A59" s="56"/>
      <c r="B59" s="56"/>
      <c r="C59" s="56"/>
      <c r="D59" s="10" t="s">
        <v>108</v>
      </c>
      <c r="E59" s="11"/>
      <c r="F59" s="11">
        <v>10</v>
      </c>
      <c r="G59" s="15"/>
      <c r="H59" s="45"/>
      <c r="M59" s="1"/>
    </row>
    <row r="60" spans="1:13" ht="20.100000000000001" customHeight="1" x14ac:dyDescent="0.25">
      <c r="A60" s="56"/>
      <c r="B60" s="56"/>
      <c r="C60" s="56"/>
      <c r="D60" s="10" t="s">
        <v>25</v>
      </c>
      <c r="E60" s="11" t="s">
        <v>11</v>
      </c>
      <c r="F60" s="11">
        <v>10</v>
      </c>
      <c r="G60" s="15"/>
      <c r="H60" s="45"/>
      <c r="M60" s="1"/>
    </row>
    <row r="61" spans="1:13" ht="20.100000000000001" customHeight="1" x14ac:dyDescent="0.25">
      <c r="A61" s="56"/>
      <c r="B61" s="56"/>
      <c r="C61" s="57"/>
      <c r="D61" s="32" t="s">
        <v>13</v>
      </c>
      <c r="E61" s="39"/>
      <c r="F61" s="39">
        <f>SUM(F56:F60)</f>
        <v>50</v>
      </c>
      <c r="G61" s="15"/>
      <c r="H61" s="45"/>
      <c r="M61" s="1"/>
    </row>
    <row r="62" spans="1:13" ht="20.100000000000001" customHeight="1" x14ac:dyDescent="0.25">
      <c r="A62" s="56"/>
      <c r="B62" s="56"/>
      <c r="C62" s="55" t="s">
        <v>14</v>
      </c>
      <c r="D62" s="34" t="s">
        <v>21</v>
      </c>
      <c r="E62" s="26">
        <v>50</v>
      </c>
      <c r="F62" s="46">
        <v>35</v>
      </c>
      <c r="G62" s="12" t="s">
        <v>59</v>
      </c>
      <c r="H62" s="45"/>
      <c r="M62" s="1"/>
    </row>
    <row r="63" spans="1:13" ht="20.100000000000001" customHeight="1" x14ac:dyDescent="0.25">
      <c r="A63" s="57"/>
      <c r="B63" s="57"/>
      <c r="C63" s="57"/>
      <c r="D63" s="10" t="s">
        <v>36</v>
      </c>
      <c r="E63" s="11">
        <v>50</v>
      </c>
      <c r="F63" s="11">
        <v>15</v>
      </c>
      <c r="G63" s="12" t="s">
        <v>59</v>
      </c>
      <c r="H63" s="45"/>
      <c r="M63" s="1"/>
    </row>
    <row r="64" spans="1:13" ht="20.100000000000001" customHeight="1" x14ac:dyDescent="0.25">
      <c r="A64" s="16"/>
      <c r="B64" s="12"/>
      <c r="C64" s="10"/>
      <c r="D64" s="17" t="s">
        <v>16</v>
      </c>
      <c r="E64" s="17"/>
      <c r="F64" s="17">
        <v>50</v>
      </c>
      <c r="G64" s="15"/>
      <c r="H64" s="45"/>
      <c r="M64" s="1"/>
    </row>
    <row r="65" spans="1:13" ht="20.100000000000001" customHeight="1" x14ac:dyDescent="0.25">
      <c r="A65" s="60" t="s">
        <v>17</v>
      </c>
      <c r="B65" s="61"/>
      <c r="C65" s="61"/>
      <c r="D65" s="62"/>
      <c r="E65" s="18"/>
      <c r="F65" s="18">
        <v>100</v>
      </c>
      <c r="G65" s="15"/>
      <c r="H65" s="47"/>
      <c r="M65" s="1"/>
    </row>
    <row r="66" spans="1:13" ht="20.100000000000001" customHeight="1" x14ac:dyDescent="0.25">
      <c r="A66" s="2"/>
      <c r="B66" s="3"/>
      <c r="C66" s="3"/>
      <c r="D66" s="3"/>
      <c r="E66" s="3"/>
      <c r="F66" s="3"/>
      <c r="M66" s="1"/>
    </row>
    <row r="67" spans="1:13" ht="20.100000000000001" customHeight="1" x14ac:dyDescent="0.25">
      <c r="A67" s="8" t="s">
        <v>18</v>
      </c>
      <c r="B67" s="9" t="s">
        <v>19</v>
      </c>
      <c r="C67" s="9" t="s">
        <v>2</v>
      </c>
      <c r="D67" s="9" t="s">
        <v>3</v>
      </c>
      <c r="E67" s="9" t="s">
        <v>4</v>
      </c>
      <c r="F67" s="30" t="s">
        <v>5</v>
      </c>
      <c r="G67" s="8" t="s">
        <v>55</v>
      </c>
      <c r="H67" s="36" t="s">
        <v>56</v>
      </c>
      <c r="M67" s="1"/>
    </row>
    <row r="68" spans="1:13" ht="20.100000000000001" customHeight="1" x14ac:dyDescent="0.25">
      <c r="A68" s="55" t="s">
        <v>26</v>
      </c>
      <c r="B68" s="55" t="s">
        <v>27</v>
      </c>
      <c r="C68" s="55" t="s">
        <v>7</v>
      </c>
      <c r="D68" s="10" t="s">
        <v>20</v>
      </c>
      <c r="E68" s="11">
        <v>50</v>
      </c>
      <c r="F68" s="31">
        <v>15</v>
      </c>
      <c r="G68" s="12" t="s">
        <v>59</v>
      </c>
      <c r="H68" s="13" t="s">
        <v>97</v>
      </c>
      <c r="M68" s="1"/>
    </row>
    <row r="69" spans="1:13" ht="20.100000000000001" customHeight="1" x14ac:dyDescent="0.25">
      <c r="A69" s="56"/>
      <c r="B69" s="56"/>
      <c r="C69" s="56"/>
      <c r="D69" s="10" t="s">
        <v>48</v>
      </c>
      <c r="E69" s="11"/>
      <c r="F69" s="31">
        <v>10</v>
      </c>
      <c r="G69" s="15"/>
      <c r="H69" s="38" t="s">
        <v>88</v>
      </c>
      <c r="M69" s="1"/>
    </row>
    <row r="70" spans="1:13" ht="20.100000000000001" customHeight="1" x14ac:dyDescent="0.25">
      <c r="A70" s="56"/>
      <c r="B70" s="56"/>
      <c r="C70" s="56"/>
      <c r="D70" s="10" t="s">
        <v>28</v>
      </c>
      <c r="E70" s="11"/>
      <c r="F70" s="31">
        <v>25</v>
      </c>
      <c r="G70" s="15"/>
      <c r="H70" s="38" t="s">
        <v>89</v>
      </c>
      <c r="M70" s="1"/>
    </row>
    <row r="71" spans="1:13" ht="20.100000000000001" customHeight="1" x14ac:dyDescent="0.25">
      <c r="A71" s="56"/>
      <c r="B71" s="56"/>
      <c r="C71" s="58"/>
      <c r="D71" s="32" t="s">
        <v>13</v>
      </c>
      <c r="E71" s="39"/>
      <c r="F71" s="39">
        <f>SUM(F68:F70)</f>
        <v>50</v>
      </c>
      <c r="G71" s="15"/>
      <c r="H71" s="14"/>
      <c r="M71" s="1"/>
    </row>
    <row r="72" spans="1:13" ht="20.100000000000001" customHeight="1" x14ac:dyDescent="0.25">
      <c r="A72" s="56"/>
      <c r="B72" s="56"/>
      <c r="C72" s="59" t="s">
        <v>14</v>
      </c>
      <c r="D72" s="34" t="s">
        <v>22</v>
      </c>
      <c r="E72" s="46">
        <v>50</v>
      </c>
      <c r="F72" s="48">
        <v>25</v>
      </c>
      <c r="G72" s="27" t="s">
        <v>59</v>
      </c>
      <c r="H72" s="14"/>
      <c r="M72" s="1"/>
    </row>
    <row r="73" spans="1:13" ht="20.100000000000001" customHeight="1" x14ac:dyDescent="0.25">
      <c r="A73" s="56"/>
      <c r="B73" s="56"/>
      <c r="C73" s="56"/>
      <c r="D73" s="10" t="s">
        <v>29</v>
      </c>
      <c r="E73" s="11">
        <v>50</v>
      </c>
      <c r="F73" s="31">
        <v>25</v>
      </c>
      <c r="G73" s="27" t="s">
        <v>59</v>
      </c>
      <c r="H73" s="14"/>
      <c r="M73" s="1"/>
    </row>
    <row r="74" spans="1:13" ht="20.100000000000001" customHeight="1" x14ac:dyDescent="0.25">
      <c r="A74" s="57"/>
      <c r="B74" s="57"/>
      <c r="C74" s="57"/>
      <c r="D74" s="17" t="s">
        <v>16</v>
      </c>
      <c r="E74" s="17"/>
      <c r="F74" s="35">
        <f>SUM(F72:F73)</f>
        <v>50</v>
      </c>
      <c r="G74" s="15"/>
      <c r="H74" s="14"/>
      <c r="M74" s="1"/>
    </row>
    <row r="75" spans="1:13" ht="20.100000000000001" customHeight="1" x14ac:dyDescent="0.25">
      <c r="A75" s="60" t="s">
        <v>17</v>
      </c>
      <c r="B75" s="61"/>
      <c r="C75" s="61"/>
      <c r="D75" s="62"/>
      <c r="E75" s="18"/>
      <c r="F75" s="49">
        <f>SUM(F71,F74)</f>
        <v>100</v>
      </c>
      <c r="G75" s="15"/>
      <c r="H75" s="14"/>
      <c r="M75" s="1"/>
    </row>
    <row r="76" spans="1:13" ht="20.100000000000001" customHeight="1" x14ac:dyDescent="0.25">
      <c r="A76" s="2"/>
      <c r="B76" s="3"/>
      <c r="C76" s="3"/>
      <c r="D76" s="3"/>
      <c r="E76" s="3"/>
      <c r="F76" s="3"/>
      <c r="M76" s="1"/>
    </row>
    <row r="77" spans="1:13" ht="20.100000000000001" customHeight="1" x14ac:dyDescent="0.25">
      <c r="A77" s="8" t="s">
        <v>18</v>
      </c>
      <c r="B77" s="9" t="s">
        <v>19</v>
      </c>
      <c r="C77" s="9" t="s">
        <v>2</v>
      </c>
      <c r="D77" s="9" t="s">
        <v>3</v>
      </c>
      <c r="E77" s="9" t="s">
        <v>4</v>
      </c>
      <c r="F77" s="9" t="s">
        <v>5</v>
      </c>
      <c r="G77" s="8" t="s">
        <v>55</v>
      </c>
      <c r="H77" s="36" t="s">
        <v>56</v>
      </c>
      <c r="M77" s="1"/>
    </row>
    <row r="78" spans="1:13" ht="20.100000000000001" customHeight="1" x14ac:dyDescent="0.25">
      <c r="A78" s="55" t="s">
        <v>30</v>
      </c>
      <c r="B78" s="55" t="s">
        <v>31</v>
      </c>
      <c r="C78" s="55" t="s">
        <v>7</v>
      </c>
      <c r="D78" s="10" t="s">
        <v>58</v>
      </c>
      <c r="E78" s="11">
        <v>50</v>
      </c>
      <c r="F78" s="11">
        <v>30</v>
      </c>
      <c r="G78" s="12" t="s">
        <v>59</v>
      </c>
      <c r="H78" s="13" t="s">
        <v>96</v>
      </c>
      <c r="M78" s="1"/>
    </row>
    <row r="79" spans="1:13" ht="20.100000000000001" customHeight="1" x14ac:dyDescent="0.25">
      <c r="A79" s="56"/>
      <c r="B79" s="56"/>
      <c r="C79" s="56"/>
      <c r="D79" s="10" t="s">
        <v>32</v>
      </c>
      <c r="E79" s="11"/>
      <c r="F79" s="11">
        <v>20</v>
      </c>
      <c r="G79" s="15"/>
      <c r="H79" s="14" t="s">
        <v>99</v>
      </c>
      <c r="M79" s="1"/>
    </row>
    <row r="80" spans="1:13" ht="20.100000000000001" customHeight="1" x14ac:dyDescent="0.25">
      <c r="A80" s="56"/>
      <c r="B80" s="56"/>
      <c r="C80" s="58"/>
      <c r="D80" s="32" t="s">
        <v>13</v>
      </c>
      <c r="E80" s="39"/>
      <c r="F80" s="39">
        <f>SUM(F78:F79)</f>
        <v>50</v>
      </c>
      <c r="G80" s="15"/>
      <c r="H80" s="14"/>
      <c r="M80" s="1"/>
    </row>
    <row r="81" spans="1:13" ht="20.100000000000001" customHeight="1" x14ac:dyDescent="0.25">
      <c r="A81" s="56"/>
      <c r="B81" s="56"/>
      <c r="C81" s="59" t="s">
        <v>14</v>
      </c>
      <c r="D81" s="34" t="s">
        <v>22</v>
      </c>
      <c r="E81" s="46">
        <v>50</v>
      </c>
      <c r="F81" s="46">
        <v>50</v>
      </c>
      <c r="G81" s="12" t="s">
        <v>59</v>
      </c>
      <c r="H81" s="14"/>
      <c r="M81" s="1"/>
    </row>
    <row r="82" spans="1:13" ht="20.100000000000001" customHeight="1" x14ac:dyDescent="0.25">
      <c r="A82" s="57"/>
      <c r="B82" s="57"/>
      <c r="C82" s="57"/>
      <c r="D82" s="17" t="s">
        <v>16</v>
      </c>
      <c r="E82" s="17"/>
      <c r="F82" s="17">
        <f>SUM(F81)</f>
        <v>50</v>
      </c>
      <c r="G82" s="15"/>
      <c r="H82" s="14"/>
      <c r="M82" s="1"/>
    </row>
    <row r="83" spans="1:13" ht="20.100000000000001" customHeight="1" x14ac:dyDescent="0.25">
      <c r="A83" s="60" t="s">
        <v>17</v>
      </c>
      <c r="B83" s="61"/>
      <c r="C83" s="61"/>
      <c r="D83" s="62"/>
      <c r="E83" s="18"/>
      <c r="F83" s="18">
        <f>SUM(F80,F82)</f>
        <v>100</v>
      </c>
      <c r="G83" s="15"/>
      <c r="H83" s="14"/>
      <c r="M83" s="1"/>
    </row>
    <row r="84" spans="1:13" ht="20.100000000000001" customHeight="1" x14ac:dyDescent="0.25">
      <c r="A84" s="2"/>
      <c r="B84" s="3"/>
      <c r="C84" s="3"/>
      <c r="D84" s="3"/>
      <c r="E84" s="3"/>
      <c r="F84" s="3"/>
      <c r="M84" s="1"/>
    </row>
    <row r="85" spans="1:13" ht="20.100000000000001" customHeight="1" x14ac:dyDescent="0.25">
      <c r="A85" s="8" t="s">
        <v>18</v>
      </c>
      <c r="B85" s="9" t="s">
        <v>19</v>
      </c>
      <c r="C85" s="9" t="s">
        <v>2</v>
      </c>
      <c r="D85" s="9" t="s">
        <v>3</v>
      </c>
      <c r="E85" s="9" t="s">
        <v>4</v>
      </c>
      <c r="F85" s="9" t="s">
        <v>5</v>
      </c>
      <c r="G85" s="8" t="s">
        <v>55</v>
      </c>
      <c r="H85" s="36" t="s">
        <v>56</v>
      </c>
      <c r="M85" s="1"/>
    </row>
    <row r="86" spans="1:13" ht="20.100000000000001" customHeight="1" x14ac:dyDescent="0.25">
      <c r="A86" s="55" t="s">
        <v>33</v>
      </c>
      <c r="B86" s="55" t="s">
        <v>34</v>
      </c>
      <c r="C86" s="55" t="s">
        <v>7</v>
      </c>
      <c r="D86" s="10" t="s">
        <v>20</v>
      </c>
      <c r="E86" s="11">
        <v>50</v>
      </c>
      <c r="F86" s="11">
        <v>15</v>
      </c>
      <c r="G86" s="12" t="s">
        <v>59</v>
      </c>
      <c r="H86" s="13" t="s">
        <v>80</v>
      </c>
      <c r="M86" s="1"/>
    </row>
    <row r="87" spans="1:13" ht="20.100000000000001" customHeight="1" x14ac:dyDescent="0.25">
      <c r="A87" s="56"/>
      <c r="B87" s="56"/>
      <c r="C87" s="56"/>
      <c r="D87" s="10" t="s">
        <v>32</v>
      </c>
      <c r="E87" s="11"/>
      <c r="F87" s="11">
        <v>10</v>
      </c>
      <c r="G87" s="37"/>
      <c r="H87" s="13" t="s">
        <v>90</v>
      </c>
      <c r="M87" s="1"/>
    </row>
    <row r="88" spans="1:13" ht="20.100000000000001" customHeight="1" x14ac:dyDescent="0.25">
      <c r="A88" s="56"/>
      <c r="B88" s="56"/>
      <c r="C88" s="56"/>
      <c r="D88" s="10" t="s">
        <v>35</v>
      </c>
      <c r="E88" s="11"/>
      <c r="F88" s="11">
        <v>10</v>
      </c>
      <c r="G88" s="37"/>
      <c r="H88" s="13"/>
      <c r="M88" s="1"/>
    </row>
    <row r="89" spans="1:13" ht="20.100000000000001" customHeight="1" x14ac:dyDescent="0.25">
      <c r="A89" s="56"/>
      <c r="B89" s="56"/>
      <c r="C89" s="56"/>
      <c r="D89" s="10" t="s">
        <v>25</v>
      </c>
      <c r="E89" s="11" t="s">
        <v>11</v>
      </c>
      <c r="F89" s="11">
        <v>15</v>
      </c>
      <c r="G89" s="37"/>
      <c r="H89" s="13"/>
      <c r="M89" s="1"/>
    </row>
    <row r="90" spans="1:13" ht="20.100000000000001" customHeight="1" x14ac:dyDescent="0.25">
      <c r="A90" s="56"/>
      <c r="B90" s="56"/>
      <c r="C90" s="57"/>
      <c r="D90" s="32" t="s">
        <v>13</v>
      </c>
      <c r="E90" s="39"/>
      <c r="F90" s="39">
        <f>SUM(F86:F89)</f>
        <v>50</v>
      </c>
      <c r="G90" s="50"/>
      <c r="H90" s="13"/>
      <c r="M90" s="1"/>
    </row>
    <row r="91" spans="1:13" ht="20.100000000000001" customHeight="1" x14ac:dyDescent="0.25">
      <c r="A91" s="56"/>
      <c r="B91" s="56"/>
      <c r="C91" s="55" t="s">
        <v>14</v>
      </c>
      <c r="D91" s="34" t="s">
        <v>22</v>
      </c>
      <c r="E91" s="46">
        <v>50</v>
      </c>
      <c r="F91" s="46">
        <v>30</v>
      </c>
      <c r="G91" s="12" t="s">
        <v>59</v>
      </c>
      <c r="H91" s="13"/>
      <c r="M91" s="1"/>
    </row>
    <row r="92" spans="1:13" ht="20.100000000000001" customHeight="1" x14ac:dyDescent="0.25">
      <c r="A92" s="57"/>
      <c r="B92" s="57"/>
      <c r="C92" s="57"/>
      <c r="D92" s="10" t="s">
        <v>36</v>
      </c>
      <c r="E92" s="11">
        <v>50</v>
      </c>
      <c r="F92" s="11">
        <v>20</v>
      </c>
      <c r="G92" s="12" t="s">
        <v>59</v>
      </c>
      <c r="H92" s="13"/>
      <c r="M92" s="1"/>
    </row>
    <row r="93" spans="1:13" ht="20.100000000000001" customHeight="1" x14ac:dyDescent="0.25">
      <c r="A93" s="16"/>
      <c r="B93" s="12"/>
      <c r="C93" s="10"/>
      <c r="D93" s="17" t="s">
        <v>16</v>
      </c>
      <c r="E93" s="17"/>
      <c r="F93" s="17">
        <f>SUM(F91:F92)</f>
        <v>50</v>
      </c>
      <c r="G93" s="37"/>
      <c r="H93" s="13"/>
      <c r="M93" s="1"/>
    </row>
    <row r="94" spans="1:13" ht="20.100000000000001" customHeight="1" x14ac:dyDescent="0.25">
      <c r="A94" s="60" t="s">
        <v>17</v>
      </c>
      <c r="B94" s="61"/>
      <c r="C94" s="61"/>
      <c r="D94" s="62"/>
      <c r="E94" s="18"/>
      <c r="F94" s="18">
        <f>SUM(F90,F93)</f>
        <v>100</v>
      </c>
      <c r="G94" s="15"/>
      <c r="H94" s="13"/>
      <c r="M94" s="1"/>
    </row>
    <row r="95" spans="1:13" ht="20.100000000000001" customHeight="1" x14ac:dyDescent="0.25">
      <c r="A95" s="2"/>
      <c r="B95" s="3"/>
      <c r="C95" s="3"/>
      <c r="D95" s="3"/>
      <c r="E95" s="3"/>
      <c r="F95" s="3"/>
      <c r="M95" s="1"/>
    </row>
    <row r="96" spans="1:13" ht="20.100000000000001" customHeight="1" x14ac:dyDescent="0.25">
      <c r="A96" s="8" t="s">
        <v>18</v>
      </c>
      <c r="B96" s="9" t="s">
        <v>19</v>
      </c>
      <c r="C96" s="9" t="s">
        <v>2</v>
      </c>
      <c r="D96" s="9" t="s">
        <v>3</v>
      </c>
      <c r="E96" s="9" t="s">
        <v>4</v>
      </c>
      <c r="F96" s="9" t="s">
        <v>5</v>
      </c>
      <c r="G96" s="8" t="s">
        <v>55</v>
      </c>
      <c r="H96" s="36" t="s">
        <v>56</v>
      </c>
      <c r="M96" s="1"/>
    </row>
    <row r="97" spans="1:13" ht="20.100000000000001" customHeight="1" x14ac:dyDescent="0.25">
      <c r="A97" s="55" t="s">
        <v>104</v>
      </c>
      <c r="B97" s="55" t="s">
        <v>107</v>
      </c>
      <c r="C97" s="55" t="s">
        <v>7</v>
      </c>
      <c r="D97" s="10" t="s">
        <v>12</v>
      </c>
      <c r="E97" s="11">
        <v>50</v>
      </c>
      <c r="F97" s="11">
        <v>30</v>
      </c>
      <c r="G97" s="12" t="s">
        <v>59</v>
      </c>
      <c r="H97" s="13" t="s">
        <v>79</v>
      </c>
      <c r="M97" s="1"/>
    </row>
    <row r="98" spans="1:13" ht="20.100000000000001" customHeight="1" x14ac:dyDescent="0.25">
      <c r="A98" s="56"/>
      <c r="B98" s="56"/>
      <c r="C98" s="56"/>
      <c r="D98" s="10" t="s">
        <v>105</v>
      </c>
      <c r="E98" s="11">
        <v>10</v>
      </c>
      <c r="F98" s="11">
        <v>20</v>
      </c>
      <c r="G98" s="15"/>
      <c r="H98" s="13" t="s">
        <v>91</v>
      </c>
      <c r="M98" s="1"/>
    </row>
    <row r="99" spans="1:13" ht="20.100000000000001" customHeight="1" x14ac:dyDescent="0.25">
      <c r="A99" s="56"/>
      <c r="B99" s="56"/>
      <c r="C99" s="57"/>
      <c r="D99" s="32" t="s">
        <v>13</v>
      </c>
      <c r="E99" s="39"/>
      <c r="F99" s="39">
        <f>SUM(F97:F98)</f>
        <v>50</v>
      </c>
      <c r="G99" s="50"/>
      <c r="H99" s="13" t="s">
        <v>98</v>
      </c>
      <c r="M99" s="1"/>
    </row>
    <row r="100" spans="1:13" ht="20.100000000000001" customHeight="1" x14ac:dyDescent="0.25">
      <c r="A100" s="56"/>
      <c r="B100" s="56"/>
      <c r="C100" s="55" t="s">
        <v>14</v>
      </c>
      <c r="D100" s="34" t="s">
        <v>112</v>
      </c>
      <c r="E100" s="46">
        <v>50</v>
      </c>
      <c r="F100" s="46">
        <v>30</v>
      </c>
      <c r="G100" s="12" t="s">
        <v>59</v>
      </c>
      <c r="H100" s="13"/>
      <c r="M100" s="1"/>
    </row>
    <row r="101" spans="1:13" ht="20.100000000000001" customHeight="1" x14ac:dyDescent="0.25">
      <c r="A101" s="57"/>
      <c r="B101" s="57"/>
      <c r="C101" s="57"/>
      <c r="D101" s="10" t="s">
        <v>106</v>
      </c>
      <c r="E101" s="11">
        <v>50</v>
      </c>
      <c r="F101" s="11">
        <v>20</v>
      </c>
      <c r="G101" s="12" t="s">
        <v>59</v>
      </c>
      <c r="H101" s="13"/>
      <c r="M101" s="1"/>
    </row>
    <row r="102" spans="1:13" ht="20.100000000000001" customHeight="1" x14ac:dyDescent="0.25">
      <c r="A102" s="16"/>
      <c r="B102" s="12"/>
      <c r="C102" s="10"/>
      <c r="D102" s="17" t="s">
        <v>16</v>
      </c>
      <c r="E102" s="17"/>
      <c r="F102" s="17">
        <f>SUM(F100:F101)</f>
        <v>50</v>
      </c>
      <c r="G102" s="37"/>
      <c r="H102" s="13"/>
      <c r="M102" s="1"/>
    </row>
    <row r="103" spans="1:13" ht="20.100000000000001" customHeight="1" x14ac:dyDescent="0.25">
      <c r="A103" s="60" t="s">
        <v>17</v>
      </c>
      <c r="B103" s="61"/>
      <c r="C103" s="61"/>
      <c r="D103" s="62"/>
      <c r="E103" s="18"/>
      <c r="F103" s="18">
        <f>SUM(F99,F102)</f>
        <v>100</v>
      </c>
      <c r="G103" s="15"/>
      <c r="H103" s="13"/>
      <c r="M103" s="1"/>
    </row>
    <row r="104" spans="1:13" s="5" customFormat="1" ht="20.100000000000001" customHeight="1" x14ac:dyDescent="0.25">
      <c r="A104" s="19"/>
      <c r="B104" s="20"/>
      <c r="C104" s="20"/>
      <c r="D104" s="20"/>
      <c r="E104" s="22"/>
      <c r="F104" s="22"/>
      <c r="G104" s="23"/>
      <c r="H104" s="51"/>
      <c r="M104" s="4"/>
    </row>
    <row r="105" spans="1:13" ht="20.100000000000001" customHeight="1" x14ac:dyDescent="0.25">
      <c r="A105" s="8" t="s">
        <v>18</v>
      </c>
      <c r="B105" s="9" t="s">
        <v>19</v>
      </c>
      <c r="C105" s="9" t="s">
        <v>2</v>
      </c>
      <c r="D105" s="9" t="s">
        <v>3</v>
      </c>
      <c r="E105" s="9" t="s">
        <v>4</v>
      </c>
      <c r="F105" s="9" t="s">
        <v>5</v>
      </c>
      <c r="G105" s="8" t="s">
        <v>55</v>
      </c>
      <c r="H105" s="36" t="s">
        <v>56</v>
      </c>
      <c r="M105" s="1"/>
    </row>
    <row r="106" spans="1:13" ht="20.100000000000001" customHeight="1" x14ac:dyDescent="0.25">
      <c r="A106" s="53" t="s">
        <v>66</v>
      </c>
      <c r="B106" s="53" t="s">
        <v>113</v>
      </c>
      <c r="C106" s="53" t="s">
        <v>7</v>
      </c>
      <c r="D106" s="25" t="s">
        <v>12</v>
      </c>
      <c r="E106" s="26">
        <v>50</v>
      </c>
      <c r="F106" s="26">
        <v>25</v>
      </c>
      <c r="G106" s="15"/>
      <c r="H106" s="13" t="s">
        <v>92</v>
      </c>
      <c r="M106" s="1"/>
    </row>
    <row r="107" spans="1:13" ht="20.100000000000001" customHeight="1" x14ac:dyDescent="0.25">
      <c r="A107" s="53"/>
      <c r="B107" s="53"/>
      <c r="C107" s="53"/>
      <c r="D107" s="25" t="s">
        <v>65</v>
      </c>
      <c r="E107" s="26"/>
      <c r="F107" s="26">
        <v>25</v>
      </c>
      <c r="G107" s="15" t="s">
        <v>59</v>
      </c>
      <c r="H107" s="15"/>
      <c r="M107" s="1"/>
    </row>
    <row r="108" spans="1:13" ht="20.100000000000001" customHeight="1" x14ac:dyDescent="0.25">
      <c r="A108" s="53"/>
      <c r="B108" s="53"/>
      <c r="C108" s="53"/>
      <c r="D108" s="33" t="s">
        <v>13</v>
      </c>
      <c r="E108" s="33"/>
      <c r="F108" s="33">
        <f>SUM(F106:F107)</f>
        <v>50</v>
      </c>
      <c r="G108" s="15"/>
      <c r="H108" s="15"/>
      <c r="M108" s="1"/>
    </row>
    <row r="109" spans="1:13" ht="20.100000000000001" customHeight="1" x14ac:dyDescent="0.25">
      <c r="A109" s="53"/>
      <c r="B109" s="53"/>
      <c r="C109" s="27" t="s">
        <v>14</v>
      </c>
      <c r="D109" s="25" t="s">
        <v>29</v>
      </c>
      <c r="E109" s="26">
        <v>50</v>
      </c>
      <c r="F109" s="26">
        <v>50</v>
      </c>
      <c r="G109" s="12" t="s">
        <v>59</v>
      </c>
      <c r="H109" s="15"/>
      <c r="M109" s="1"/>
    </row>
    <row r="110" spans="1:13" ht="20.100000000000001" customHeight="1" x14ac:dyDescent="0.25">
      <c r="A110" s="27"/>
      <c r="B110" s="27"/>
      <c r="C110" s="25"/>
      <c r="D110" s="33" t="s">
        <v>16</v>
      </c>
      <c r="E110" s="33"/>
      <c r="F110" s="33">
        <f>SUM(F109:F109)</f>
        <v>50</v>
      </c>
      <c r="G110" s="15"/>
      <c r="H110" s="15"/>
      <c r="M110" s="1"/>
    </row>
    <row r="111" spans="1:13" ht="20.100000000000001" customHeight="1" x14ac:dyDescent="0.25">
      <c r="A111" s="54" t="s">
        <v>17</v>
      </c>
      <c r="B111" s="54"/>
      <c r="C111" s="54"/>
      <c r="D111" s="54"/>
      <c r="E111" s="52"/>
      <c r="F111" s="52">
        <f>SUM(F108,F110)</f>
        <v>100</v>
      </c>
      <c r="G111" s="15"/>
      <c r="H111" s="15"/>
      <c r="M111" s="1"/>
    </row>
    <row r="112" spans="1:13" ht="20.100000000000001" customHeight="1" x14ac:dyDescent="0.25">
      <c r="A112" s="2"/>
      <c r="B112" s="3"/>
      <c r="C112" s="3"/>
      <c r="D112" s="3"/>
      <c r="E112" s="3"/>
      <c r="F112" s="3"/>
      <c r="M112" s="1"/>
    </row>
    <row r="113" spans="1:13" ht="20.100000000000001" customHeight="1" x14ac:dyDescent="0.25">
      <c r="A113" s="8" t="s">
        <v>18</v>
      </c>
      <c r="B113" s="9" t="s">
        <v>19</v>
      </c>
      <c r="C113" s="9" t="s">
        <v>2</v>
      </c>
      <c r="D113" s="9" t="s">
        <v>3</v>
      </c>
      <c r="E113" s="9" t="s">
        <v>4</v>
      </c>
      <c r="F113" s="9" t="s">
        <v>5</v>
      </c>
      <c r="G113" s="8" t="s">
        <v>55</v>
      </c>
      <c r="H113" s="36" t="s">
        <v>56</v>
      </c>
      <c r="M113" s="1"/>
    </row>
    <row r="114" spans="1:13" ht="20.100000000000001" customHeight="1" x14ac:dyDescent="0.25">
      <c r="A114" s="53" t="s">
        <v>67</v>
      </c>
      <c r="B114" s="53" t="s">
        <v>114</v>
      </c>
      <c r="C114" s="53" t="s">
        <v>7</v>
      </c>
      <c r="D114" s="25" t="s">
        <v>70</v>
      </c>
      <c r="E114" s="26">
        <v>50</v>
      </c>
      <c r="F114" s="26">
        <v>50</v>
      </c>
      <c r="G114" s="15"/>
      <c r="H114" s="13" t="s">
        <v>81</v>
      </c>
      <c r="M114" s="1"/>
    </row>
    <row r="115" spans="1:13" ht="20.100000000000001" customHeight="1" x14ac:dyDescent="0.25">
      <c r="A115" s="53"/>
      <c r="B115" s="53"/>
      <c r="C115" s="53"/>
      <c r="D115" s="33" t="s">
        <v>13</v>
      </c>
      <c r="E115" s="33"/>
      <c r="F115" s="33">
        <f>SUM(F114:F114)</f>
        <v>50</v>
      </c>
      <c r="G115" s="15"/>
      <c r="H115" s="15"/>
      <c r="M115" s="1"/>
    </row>
    <row r="116" spans="1:13" ht="20.100000000000001" customHeight="1" x14ac:dyDescent="0.25">
      <c r="A116" s="53"/>
      <c r="B116" s="53"/>
      <c r="C116" s="27" t="s">
        <v>14</v>
      </c>
      <c r="D116" s="25" t="s">
        <v>29</v>
      </c>
      <c r="E116" s="26">
        <v>50</v>
      </c>
      <c r="F116" s="26">
        <v>50</v>
      </c>
      <c r="G116" s="12" t="s">
        <v>59</v>
      </c>
      <c r="H116" s="15"/>
      <c r="M116" s="1"/>
    </row>
    <row r="117" spans="1:13" ht="20.100000000000001" customHeight="1" x14ac:dyDescent="0.25">
      <c r="A117" s="27"/>
      <c r="B117" s="27"/>
      <c r="C117" s="25"/>
      <c r="D117" s="33" t="s">
        <v>16</v>
      </c>
      <c r="E117" s="33"/>
      <c r="F117" s="33">
        <f>SUM(F116:F116)</f>
        <v>50</v>
      </c>
      <c r="G117" s="15"/>
      <c r="H117" s="15"/>
      <c r="M117" s="1"/>
    </row>
    <row r="118" spans="1:13" ht="20.100000000000001" customHeight="1" x14ac:dyDescent="0.25">
      <c r="A118" s="54" t="s">
        <v>17</v>
      </c>
      <c r="B118" s="54"/>
      <c r="C118" s="54"/>
      <c r="D118" s="54"/>
      <c r="E118" s="52"/>
      <c r="F118" s="52">
        <f>SUM(F115,F117)</f>
        <v>100</v>
      </c>
      <c r="G118" s="15"/>
      <c r="H118" s="15"/>
      <c r="M118" s="1"/>
    </row>
    <row r="119" spans="1:13" ht="20.100000000000001" customHeight="1" x14ac:dyDescent="0.25">
      <c r="A119" s="8" t="s">
        <v>18</v>
      </c>
      <c r="B119" s="9" t="s">
        <v>19</v>
      </c>
      <c r="C119" s="9" t="s">
        <v>2</v>
      </c>
      <c r="D119" s="9" t="s">
        <v>3</v>
      </c>
      <c r="E119" s="9" t="s">
        <v>4</v>
      </c>
      <c r="F119" s="9" t="s">
        <v>5</v>
      </c>
      <c r="G119" s="8" t="s">
        <v>55</v>
      </c>
      <c r="H119" s="36" t="s">
        <v>56</v>
      </c>
      <c r="M119" s="1"/>
    </row>
    <row r="120" spans="1:13" ht="20.100000000000001" customHeight="1" x14ac:dyDescent="0.25">
      <c r="A120" s="53" t="s">
        <v>63</v>
      </c>
      <c r="B120" s="53" t="s">
        <v>64</v>
      </c>
      <c r="C120" s="53" t="s">
        <v>7</v>
      </c>
      <c r="D120" s="25" t="s">
        <v>12</v>
      </c>
      <c r="E120" s="26">
        <v>100</v>
      </c>
      <c r="F120" s="26">
        <v>25</v>
      </c>
      <c r="G120" s="15"/>
      <c r="H120" s="15"/>
      <c r="M120" s="1"/>
    </row>
    <row r="121" spans="1:13" ht="20.100000000000001" customHeight="1" x14ac:dyDescent="0.25">
      <c r="A121" s="53"/>
      <c r="B121" s="53"/>
      <c r="C121" s="53"/>
      <c r="D121" s="25" t="s">
        <v>28</v>
      </c>
      <c r="E121" s="26"/>
      <c r="F121" s="26">
        <v>25</v>
      </c>
      <c r="G121" s="15"/>
      <c r="H121" s="15"/>
      <c r="M121" s="1"/>
    </row>
    <row r="122" spans="1:13" ht="20.100000000000001" customHeight="1" x14ac:dyDescent="0.25">
      <c r="A122" s="53"/>
      <c r="B122" s="53"/>
      <c r="C122" s="53"/>
      <c r="D122" s="33" t="s">
        <v>13</v>
      </c>
      <c r="E122" s="33"/>
      <c r="F122" s="33">
        <f>SUM(F120:F121)</f>
        <v>50</v>
      </c>
      <c r="G122" s="15"/>
      <c r="H122" s="15"/>
      <c r="M122" s="1"/>
    </row>
    <row r="123" spans="1:13" ht="20.100000000000001" customHeight="1" x14ac:dyDescent="0.25">
      <c r="A123" s="53"/>
      <c r="B123" s="53"/>
      <c r="C123" s="27" t="s">
        <v>14</v>
      </c>
      <c r="D123" s="25" t="s">
        <v>29</v>
      </c>
      <c r="E123" s="26">
        <v>100</v>
      </c>
      <c r="F123" s="26">
        <v>50</v>
      </c>
      <c r="G123" s="12" t="s">
        <v>59</v>
      </c>
      <c r="H123" s="15"/>
      <c r="M123" s="1"/>
    </row>
    <row r="124" spans="1:13" ht="20.100000000000001" customHeight="1" x14ac:dyDescent="0.25">
      <c r="A124" s="27"/>
      <c r="B124" s="27"/>
      <c r="C124" s="25"/>
      <c r="D124" s="33" t="s">
        <v>16</v>
      </c>
      <c r="E124" s="33"/>
      <c r="F124" s="33">
        <f>SUM(F123:F123)</f>
        <v>50</v>
      </c>
      <c r="G124" s="15"/>
      <c r="H124" s="15"/>
      <c r="M124" s="1"/>
    </row>
    <row r="125" spans="1:13" ht="20.100000000000001" customHeight="1" x14ac:dyDescent="0.25">
      <c r="A125" s="54" t="s">
        <v>17</v>
      </c>
      <c r="B125" s="54"/>
      <c r="C125" s="54"/>
      <c r="D125" s="54"/>
      <c r="E125" s="52"/>
      <c r="F125" s="52">
        <f>SUM(F122,F124)</f>
        <v>100</v>
      </c>
      <c r="G125" s="15"/>
      <c r="H125" s="15"/>
      <c r="M125" s="1"/>
    </row>
    <row r="126" spans="1:13" ht="20.100000000000001" customHeight="1" x14ac:dyDescent="0.25">
      <c r="A126" s="2"/>
      <c r="B126" s="3"/>
      <c r="C126" s="3"/>
      <c r="D126" s="3"/>
      <c r="E126" s="3"/>
      <c r="F126" s="3"/>
      <c r="G126" s="2"/>
      <c r="H126" s="2"/>
      <c r="I126" s="2"/>
      <c r="J126" s="2"/>
      <c r="K126" s="2"/>
      <c r="L126" s="2"/>
      <c r="M126" s="1"/>
    </row>
    <row r="127" spans="1:13" ht="20.100000000000001" customHeight="1" x14ac:dyDescent="0.25">
      <c r="A127" s="2"/>
      <c r="B127" s="3"/>
      <c r="C127" s="3"/>
      <c r="D127" s="3"/>
      <c r="E127" s="3"/>
      <c r="F127" s="3"/>
      <c r="G127" s="2"/>
      <c r="H127" s="2"/>
      <c r="I127" s="2"/>
      <c r="J127" s="2"/>
      <c r="K127" s="2"/>
      <c r="L127" s="2"/>
      <c r="M127" s="1"/>
    </row>
    <row r="128" spans="1:13" ht="20.100000000000001" customHeight="1" x14ac:dyDescent="0.25">
      <c r="A128" s="2"/>
      <c r="B128" s="67" t="s">
        <v>109</v>
      </c>
      <c r="C128" s="68"/>
      <c r="D128" s="69"/>
      <c r="E128" s="3"/>
      <c r="F128" s="67" t="s">
        <v>111</v>
      </c>
      <c r="G128" s="68"/>
      <c r="H128" s="68"/>
      <c r="I128" s="68"/>
      <c r="J128" s="68"/>
      <c r="K128" s="70"/>
      <c r="L128" s="6"/>
      <c r="M128" s="1"/>
    </row>
    <row r="129" spans="1:13" ht="20.100000000000001" customHeight="1" x14ac:dyDescent="0.25">
      <c r="A129" s="2"/>
      <c r="B129" s="64" t="s">
        <v>53</v>
      </c>
      <c r="C129" s="65"/>
      <c r="D129" s="66"/>
      <c r="E129" s="3"/>
      <c r="F129" s="64" t="s">
        <v>37</v>
      </c>
      <c r="G129" s="65"/>
      <c r="H129" s="65"/>
      <c r="I129" s="65"/>
      <c r="J129" s="65"/>
      <c r="K129" s="66"/>
      <c r="L129" s="6"/>
      <c r="M129" s="1"/>
    </row>
    <row r="130" spans="1:13" ht="20.100000000000001" customHeight="1" x14ac:dyDescent="0.25">
      <c r="A130" s="2"/>
      <c r="B130" s="64" t="s">
        <v>54</v>
      </c>
      <c r="C130" s="65"/>
      <c r="D130" s="66"/>
      <c r="E130" s="3"/>
      <c r="F130" s="64" t="s">
        <v>38</v>
      </c>
      <c r="G130" s="65"/>
      <c r="H130" s="65"/>
      <c r="I130" s="65"/>
      <c r="J130" s="65"/>
      <c r="K130" s="66"/>
      <c r="L130" s="6"/>
      <c r="M130" s="1"/>
    </row>
    <row r="131" spans="1:13" ht="20.100000000000001" customHeight="1" x14ac:dyDescent="0.25">
      <c r="A131" s="2"/>
      <c r="B131" s="64" t="s">
        <v>39</v>
      </c>
      <c r="C131" s="65"/>
      <c r="D131" s="66"/>
      <c r="E131" s="3"/>
      <c r="F131" s="64" t="s">
        <v>39</v>
      </c>
      <c r="G131" s="65"/>
      <c r="H131" s="65"/>
      <c r="I131" s="65"/>
      <c r="J131" s="65"/>
      <c r="K131" s="66"/>
      <c r="L131" s="6"/>
      <c r="M131" s="1"/>
    </row>
    <row r="132" spans="1:13" ht="20.100000000000001" customHeight="1" x14ac:dyDescent="0.25">
      <c r="A132" s="2"/>
      <c r="B132" s="3"/>
      <c r="C132" s="3"/>
      <c r="D132" s="3"/>
      <c r="E132" s="3"/>
      <c r="F132" s="3"/>
      <c r="G132" s="2"/>
      <c r="H132" s="2"/>
      <c r="I132" s="2"/>
      <c r="J132" s="2"/>
      <c r="K132" s="2"/>
      <c r="L132" s="6"/>
      <c r="M132" s="1"/>
    </row>
    <row r="133" spans="1:13" ht="20.100000000000001" customHeight="1" x14ac:dyDescent="0.25">
      <c r="A133" s="2"/>
      <c r="B133" s="67" t="s">
        <v>22</v>
      </c>
      <c r="C133" s="68"/>
      <c r="D133" s="69"/>
      <c r="E133" s="3"/>
      <c r="F133" s="67" t="s">
        <v>29</v>
      </c>
      <c r="G133" s="68"/>
      <c r="H133" s="68"/>
      <c r="I133" s="68"/>
      <c r="J133" s="68"/>
      <c r="K133" s="70"/>
      <c r="L133" s="6"/>
      <c r="M133" s="1"/>
    </row>
    <row r="134" spans="1:13" ht="20.100000000000001" customHeight="1" x14ac:dyDescent="0.25">
      <c r="A134" s="2"/>
      <c r="B134" s="64" t="s">
        <v>40</v>
      </c>
      <c r="C134" s="65"/>
      <c r="D134" s="71"/>
      <c r="E134" s="3"/>
      <c r="F134" s="64" t="s">
        <v>41</v>
      </c>
      <c r="G134" s="65"/>
      <c r="H134" s="65"/>
      <c r="I134" s="65"/>
      <c r="J134" s="65"/>
      <c r="K134" s="66"/>
      <c r="L134" s="6"/>
      <c r="M134" s="1"/>
    </row>
    <row r="135" spans="1:13" ht="20.100000000000001" customHeight="1" x14ac:dyDescent="0.25">
      <c r="A135" s="2"/>
      <c r="B135" s="64" t="s">
        <v>42</v>
      </c>
      <c r="C135" s="65"/>
      <c r="D135" s="71"/>
      <c r="E135" s="3"/>
      <c r="F135" s="64" t="s">
        <v>38</v>
      </c>
      <c r="G135" s="65"/>
      <c r="H135" s="65"/>
      <c r="I135" s="65"/>
      <c r="J135" s="65"/>
      <c r="K135" s="66"/>
      <c r="L135" s="6"/>
      <c r="M135" s="1"/>
    </row>
    <row r="136" spans="1:13" ht="20.100000000000001" customHeight="1" x14ac:dyDescent="0.25">
      <c r="A136" s="2"/>
      <c r="B136" s="64" t="s">
        <v>39</v>
      </c>
      <c r="C136" s="65"/>
      <c r="D136" s="71"/>
      <c r="E136" s="3"/>
      <c r="F136" s="64" t="s">
        <v>39</v>
      </c>
      <c r="G136" s="65"/>
      <c r="H136" s="65"/>
      <c r="I136" s="65"/>
      <c r="J136" s="65"/>
      <c r="K136" s="66"/>
      <c r="L136" s="6"/>
      <c r="M136" s="1"/>
    </row>
    <row r="137" spans="1:13" ht="20.100000000000001" customHeight="1" x14ac:dyDescent="0.25">
      <c r="A137" s="2"/>
      <c r="B137" s="3"/>
      <c r="C137" s="3"/>
      <c r="D137" s="3"/>
      <c r="E137" s="3"/>
      <c r="F137" s="3"/>
      <c r="G137" s="2"/>
      <c r="H137" s="2"/>
      <c r="I137" s="2"/>
      <c r="J137" s="2"/>
      <c r="K137" s="2"/>
      <c r="L137" s="6"/>
      <c r="M137" s="1"/>
    </row>
    <row r="138" spans="1:13" ht="20.100000000000001" customHeight="1" x14ac:dyDescent="0.25">
      <c r="A138" s="2"/>
      <c r="B138" s="67" t="s">
        <v>110</v>
      </c>
      <c r="C138" s="68"/>
      <c r="D138" s="69"/>
      <c r="E138" s="3"/>
      <c r="F138" s="3"/>
      <c r="G138" s="2"/>
      <c r="H138" s="2"/>
      <c r="I138" s="2"/>
      <c r="J138" s="2"/>
      <c r="K138" s="2"/>
      <c r="L138" s="6"/>
      <c r="M138" s="1"/>
    </row>
    <row r="139" spans="1:13" ht="20.100000000000001" customHeight="1" x14ac:dyDescent="0.25">
      <c r="A139" s="2"/>
      <c r="B139" s="64" t="s">
        <v>43</v>
      </c>
      <c r="C139" s="65"/>
      <c r="D139" s="66"/>
      <c r="E139" s="3"/>
      <c r="F139" s="3"/>
      <c r="G139" s="2"/>
      <c r="H139" s="2"/>
      <c r="I139" s="2"/>
      <c r="J139" s="2"/>
      <c r="K139" s="2"/>
      <c r="L139" s="6"/>
      <c r="M139" s="1"/>
    </row>
    <row r="140" spans="1:13" ht="20.100000000000001" customHeight="1" x14ac:dyDescent="0.25">
      <c r="A140" s="2"/>
      <c r="B140" s="64" t="s">
        <v>44</v>
      </c>
      <c r="C140" s="65"/>
      <c r="D140" s="66"/>
      <c r="E140" s="3"/>
      <c r="F140" s="3"/>
      <c r="G140" s="2"/>
      <c r="H140" s="2"/>
      <c r="I140" s="2"/>
      <c r="J140" s="2"/>
      <c r="K140" s="2"/>
      <c r="L140" s="6"/>
      <c r="M140" s="1"/>
    </row>
    <row r="141" spans="1:13" ht="20.100000000000001" customHeight="1" x14ac:dyDescent="0.25">
      <c r="A141" s="2"/>
      <c r="B141" s="64" t="s">
        <v>45</v>
      </c>
      <c r="C141" s="65"/>
      <c r="D141" s="66"/>
      <c r="E141" s="3"/>
      <c r="F141" s="3"/>
      <c r="G141" s="2"/>
      <c r="H141" s="2"/>
      <c r="I141" s="2"/>
      <c r="J141" s="2"/>
      <c r="K141" s="2"/>
      <c r="L141" s="6"/>
      <c r="M141" s="1"/>
    </row>
    <row r="142" spans="1:13" ht="20.100000000000001" customHeight="1" x14ac:dyDescent="0.25">
      <c r="A142" s="2"/>
      <c r="B142" s="3"/>
      <c r="C142" s="3"/>
      <c r="D142" s="3"/>
      <c r="E142" s="3"/>
      <c r="F142" s="3"/>
      <c r="G142" s="2"/>
      <c r="H142" s="2"/>
      <c r="I142" s="2"/>
      <c r="J142" s="2"/>
      <c r="K142" s="2"/>
      <c r="L142" s="6"/>
      <c r="M142" s="1"/>
    </row>
    <row r="143" spans="1:13" ht="20.100000000000001" customHeight="1" x14ac:dyDescent="0.25">
      <c r="A143" s="2"/>
      <c r="B143" s="67" t="s">
        <v>36</v>
      </c>
      <c r="C143" s="68"/>
      <c r="D143" s="69"/>
      <c r="E143" s="3"/>
      <c r="F143" s="3"/>
      <c r="G143" s="2"/>
      <c r="H143" s="2"/>
      <c r="I143" s="2"/>
      <c r="J143" s="2"/>
      <c r="K143" s="2"/>
      <c r="L143" s="6"/>
      <c r="M143" s="1"/>
    </row>
    <row r="144" spans="1:13" ht="20.100000000000001" customHeight="1" x14ac:dyDescent="0.25">
      <c r="A144" s="2"/>
      <c r="B144" s="64" t="s">
        <v>46</v>
      </c>
      <c r="C144" s="65"/>
      <c r="D144" s="71"/>
      <c r="E144" s="3"/>
      <c r="F144" s="3"/>
      <c r="G144" s="2"/>
      <c r="H144" s="2"/>
      <c r="I144" s="2"/>
      <c r="J144" s="2"/>
      <c r="K144" s="2"/>
      <c r="L144" s="6"/>
      <c r="M144" s="1"/>
    </row>
    <row r="145" spans="1:13" ht="20.100000000000001" customHeight="1" x14ac:dyDescent="0.25">
      <c r="A145" s="2"/>
      <c r="B145" s="64" t="s">
        <v>47</v>
      </c>
      <c r="C145" s="65"/>
      <c r="D145" s="71"/>
      <c r="E145" s="3"/>
      <c r="F145" s="3"/>
      <c r="G145" s="2"/>
      <c r="H145" s="2"/>
      <c r="I145" s="2"/>
      <c r="J145" s="2"/>
      <c r="K145" s="2"/>
      <c r="L145" s="6"/>
      <c r="M145" s="1"/>
    </row>
    <row r="146" spans="1:13" ht="20.100000000000001" customHeight="1" x14ac:dyDescent="0.25">
      <c r="A146" s="2"/>
      <c r="B146" s="64" t="s">
        <v>39</v>
      </c>
      <c r="C146" s="65"/>
      <c r="D146" s="71"/>
      <c r="E146" s="3"/>
      <c r="F146" s="3"/>
      <c r="G146" s="2"/>
      <c r="H146" s="2"/>
      <c r="I146" s="2"/>
      <c r="L146" s="7"/>
    </row>
  </sheetData>
  <mergeCells count="86">
    <mergeCell ref="A97:A101"/>
    <mergeCell ref="B97:B101"/>
    <mergeCell ref="C97:C99"/>
    <mergeCell ref="C100:C101"/>
    <mergeCell ref="A103:D103"/>
    <mergeCell ref="A22:A27"/>
    <mergeCell ref="B22:B27"/>
    <mergeCell ref="C22:C25"/>
    <mergeCell ref="C26:C27"/>
    <mergeCell ref="A28:D28"/>
    <mergeCell ref="F131:K131"/>
    <mergeCell ref="F130:K130"/>
    <mergeCell ref="A12:A18"/>
    <mergeCell ref="B12:B18"/>
    <mergeCell ref="C12:C16"/>
    <mergeCell ref="C17:C18"/>
    <mergeCell ref="A19:D19"/>
    <mergeCell ref="A65:D65"/>
    <mergeCell ref="A68:A74"/>
    <mergeCell ref="B68:B74"/>
    <mergeCell ref="C68:C71"/>
    <mergeCell ref="B131:D131"/>
    <mergeCell ref="B130:D130"/>
    <mergeCell ref="A53:D53"/>
    <mergeCell ref="A56:A63"/>
    <mergeCell ref="B56:B63"/>
    <mergeCell ref="B146:D146"/>
    <mergeCell ref="B136:D136"/>
    <mergeCell ref="B133:D133"/>
    <mergeCell ref="F136:K136"/>
    <mergeCell ref="B138:D138"/>
    <mergeCell ref="B139:D139"/>
    <mergeCell ref="B140:D140"/>
    <mergeCell ref="B141:D141"/>
    <mergeCell ref="F133:K133"/>
    <mergeCell ref="B134:D134"/>
    <mergeCell ref="F134:K134"/>
    <mergeCell ref="B135:D135"/>
    <mergeCell ref="F135:K135"/>
    <mergeCell ref="B143:D143"/>
    <mergeCell ref="B144:D144"/>
    <mergeCell ref="B145:D145"/>
    <mergeCell ref="C62:C63"/>
    <mergeCell ref="C43:C49"/>
    <mergeCell ref="C31:C36"/>
    <mergeCell ref="A40:D40"/>
    <mergeCell ref="A43:A52"/>
    <mergeCell ref="A31:A39"/>
    <mergeCell ref="F129:K129"/>
    <mergeCell ref="B128:D128"/>
    <mergeCell ref="A83:D83"/>
    <mergeCell ref="A86:A92"/>
    <mergeCell ref="B86:B92"/>
    <mergeCell ref="C86:C90"/>
    <mergeCell ref="C91:C92"/>
    <mergeCell ref="A94:D94"/>
    <mergeCell ref="F128:K128"/>
    <mergeCell ref="B129:D129"/>
    <mergeCell ref="A125:D125"/>
    <mergeCell ref="A114:A116"/>
    <mergeCell ref="B114:B116"/>
    <mergeCell ref="C114:C115"/>
    <mergeCell ref="A118:D118"/>
    <mergeCell ref="A106:A109"/>
    <mergeCell ref="A78:A82"/>
    <mergeCell ref="B78:B82"/>
    <mergeCell ref="C78:C80"/>
    <mergeCell ref="C81:C82"/>
    <mergeCell ref="A2:A8"/>
    <mergeCell ref="C72:C74"/>
    <mergeCell ref="A75:D75"/>
    <mergeCell ref="B43:B52"/>
    <mergeCell ref="B2:B8"/>
    <mergeCell ref="B31:B39"/>
    <mergeCell ref="C50:C52"/>
    <mergeCell ref="C37:C39"/>
    <mergeCell ref="C7:C8"/>
    <mergeCell ref="C2:C6"/>
    <mergeCell ref="A9:D9"/>
    <mergeCell ref="C56:C61"/>
    <mergeCell ref="B106:B109"/>
    <mergeCell ref="C106:C108"/>
    <mergeCell ref="A111:D111"/>
    <mergeCell ref="A120:A123"/>
    <mergeCell ref="B120:B123"/>
    <mergeCell ref="C120:C122"/>
  </mergeCells>
  <pageMargins left="0.46" right="0.24" top="0.53" bottom="0.5" header="0.3" footer="0.3"/>
  <pageSetup scale="80" orientation="portrait" r:id="rId1"/>
  <rowBreaks count="1" manualBreakCount="1">
    <brk id="75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 Structure</vt:lpstr>
      <vt:lpstr>'Evaluation Structure'!Print_Area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SNU</cp:lastModifiedBy>
  <cp:lastPrinted>2025-12-10T07:05:04Z</cp:lastPrinted>
  <dcterms:created xsi:type="dcterms:W3CDTF">2025-02-11T05:16:44Z</dcterms:created>
  <dcterms:modified xsi:type="dcterms:W3CDTF">2026-07-06T10:07:05Z</dcterms:modified>
</cp:coreProperties>
</file>